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se de Grupos" sheetId="1" state="visible" r:id="rId1"/>
    <sheet name="Clasificados" sheetId="2" state="visible" r:id="rId2"/>
    <sheet name="Terceros" sheetId="3" state="hidden" r:id="rId3"/>
    <sheet name="Bracket" sheetId="4" state="visible" r:id="rId4"/>
    <sheet name="Refer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Calibri"/>
      <b val="1"/>
      <i val="1"/>
      <color rgb="00FFFFFF"/>
      <sz val="14"/>
    </font>
    <font>
      <name val="Calibri"/>
      <b val="1"/>
      <color rgb="00FFFFFF"/>
      <sz val="9"/>
    </font>
    <font>
      <name val="Calibri"/>
      <b val="1"/>
      <sz val="9"/>
    </font>
    <font>
      <name val="Calibri"/>
      <b val="1"/>
      <sz val="10"/>
    </font>
    <font>
      <name val="Calibri"/>
      <sz val="10"/>
    </font>
    <font>
      <name val="Calibri"/>
      <sz val="9"/>
    </font>
    <font>
      <name val="Calibri"/>
      <sz val="8"/>
    </font>
    <font>
      <name val="Calibri"/>
      <b val="1"/>
      <color rgb="002F2F2F"/>
      <sz val="12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276221"/>
      <sz val="9"/>
    </font>
    <font>
      <name val="Calibri"/>
      <b val="1"/>
      <color rgb="009C5700"/>
      <sz val="9"/>
    </font>
    <font>
      <name val="Calibri"/>
      <b val="1"/>
      <color rgb="009C0006"/>
      <sz val="9"/>
    </font>
    <font>
      <name val="Calibri"/>
      <b val="1"/>
      <color rgb="002F2F2F"/>
      <sz val="9"/>
    </font>
    <font>
      <name val="Calibri"/>
      <b val="1"/>
      <color rgb="00FFFFFF"/>
      <sz val="16"/>
    </font>
    <font>
      <name val="Calibri"/>
      <i val="1"/>
      <color rgb="002F2F2F"/>
      <sz val="9"/>
    </font>
    <font>
      <name val="Calibri"/>
      <b val="1"/>
      <color rgb="00276221"/>
      <sz val="10"/>
    </font>
    <font>
      <name val="Calibri"/>
      <b val="1"/>
      <color rgb="009C5700"/>
      <sz val="10"/>
    </font>
    <font>
      <name val="Calibri"/>
      <b val="1"/>
      <color rgb="009C0006"/>
      <sz val="10"/>
    </font>
    <font>
      <name val="Calibri"/>
      <i val="1"/>
      <color rgb="009C5700"/>
      <sz val="9"/>
    </font>
    <font>
      <name val="Calibri"/>
      <b val="1"/>
      <color rgb="00F4C842"/>
      <sz val="20"/>
    </font>
    <font>
      <name val="Calibri"/>
      <i val="1"/>
      <color rgb="008EAADB"/>
      <sz val="8"/>
    </font>
    <font>
      <name val="Calibri"/>
      <b val="1"/>
      <color rgb="00F4C842"/>
      <sz val="9"/>
    </font>
    <font>
      <name val="Calibri"/>
      <i val="1"/>
      <color rgb="00607D8B"/>
      <sz val="7"/>
    </font>
    <font>
      <name val="Calibri"/>
      <i val="1"/>
      <color rgb="008EAADB"/>
      <sz val="9"/>
    </font>
    <font>
      <name val="Calibri"/>
      <i val="1"/>
      <color rgb="00F4C842"/>
      <sz val="7"/>
    </font>
    <font>
      <name val="Calibri"/>
      <b val="1"/>
      <color rgb="00F4C842"/>
      <sz val="12"/>
    </font>
    <font>
      <name val="Calibri"/>
      <b val="1"/>
      <color rgb="002F2F2F"/>
      <sz val="14"/>
    </font>
    <font>
      <name val="Calibri"/>
      <b val="1"/>
      <color rgb="00D9D9D9"/>
      <sz val="9"/>
    </font>
    <font>
      <name val="Calibri"/>
      <color rgb="002F2F2F"/>
      <sz val="9"/>
    </font>
    <font>
      <name val="Calibri"/>
      <color rgb="000563C1"/>
      <sz val="9"/>
      <u val="single"/>
    </font>
    <font>
      <name val="Calibri"/>
      <i val="1"/>
      <color rgb="00888888"/>
      <sz val="8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2F2F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3D5A80"/>
      </patternFill>
    </fill>
    <fill>
      <patternFill patternType="solid">
        <fgColor rgb="00DEEAF1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0D1B2A"/>
      </patternFill>
    </fill>
    <fill>
      <patternFill patternType="solid">
        <fgColor rgb="001A2D45"/>
      </patternFill>
    </fill>
    <fill>
      <patternFill patternType="solid">
        <fgColor rgb="00263D5A"/>
      </patternFill>
    </fill>
    <fill>
      <patternFill patternType="solid">
        <fgColor rgb="001A3A0A"/>
      </patternFill>
    </fill>
    <fill>
      <patternFill patternType="solid">
        <fgColor rgb="00F2F2F2"/>
      </patternFill>
    </fill>
    <fill>
      <patternFill patternType="solid">
        <fgColor rgb="00FFF9C4"/>
      </patternFill>
    </fill>
  </fills>
  <borders count="11">
    <border>
      <left/>
      <right/>
      <top/>
      <bottom/>
      <diagonal/>
    </border>
    <border>
      <left style="medium">
        <color rgb="00F4C842"/>
      </left>
      <right style="medium">
        <color rgb="00F4C842"/>
      </right>
      <top style="medium">
        <color rgb="00F4C842"/>
      </top>
      <bottom style="medium">
        <color rgb="00F4C842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medium">
        <color rgb="003D5A80"/>
      </bottom>
    </border>
    <border>
      <bottom style="medium">
        <color rgb="00F4C842"/>
      </bottom>
    </border>
    <border>
      <left style="medium">
        <color rgb="003D5A80"/>
      </left>
      <top style="thin">
        <color rgb="003D5A80"/>
      </top>
      <bottom style="thin">
        <color rgb="003D5A80"/>
      </bottom>
    </border>
    <border>
      <right style="medium">
        <color rgb="003D5A80"/>
      </right>
      <top style="thin">
        <color rgb="003D5A80"/>
      </top>
      <bottom style="thin">
        <color rgb="003D5A80"/>
      </bottom>
    </border>
    <border>
      <left style="thin">
        <color rgb="00607D8B"/>
      </left>
      <right style="thin">
        <color rgb="00607D8B"/>
      </right>
      <top style="thin">
        <color rgb="00607D8B"/>
      </top>
      <bottom style="thin">
        <color rgb="00607D8B"/>
      </bottom>
    </border>
    <border>
      <left style="medium">
        <color rgb="00F4C842"/>
      </left>
      <top style="medium">
        <color rgb="00F4C842"/>
      </top>
      <bottom style="medium">
        <color rgb="00F4C842"/>
      </bottom>
    </border>
    <border>
      <right style="medium">
        <color rgb="00F4C842"/>
      </right>
      <top style="medium">
        <color rgb="00F4C842"/>
      </top>
      <bottom style="medium">
        <color rgb="00F4C842"/>
      </bottom>
    </border>
    <border>
      <bottom style="thin">
        <color rgb="00D9D9D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0" fillId="3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left" vertical="center"/>
    </xf>
    <xf numFmtId="0" fontId="13" fillId="11" borderId="2" applyAlignment="1" pivotButton="0" quotePrefix="0" xfId="0">
      <alignment horizontal="left" vertical="center"/>
    </xf>
    <xf numFmtId="0" fontId="14" fillId="8" borderId="2" applyAlignment="1" pivotButton="0" quotePrefix="0" xfId="0">
      <alignment horizontal="left" vertical="center"/>
    </xf>
    <xf numFmtId="0" fontId="15" fillId="2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19" fillId="11" borderId="2" applyAlignment="1" pivotButton="0" quotePrefix="0" xfId="0">
      <alignment horizontal="center" vertical="center"/>
    </xf>
    <xf numFmtId="0" fontId="20" fillId="10" borderId="2" applyAlignment="1" pivotButton="0" quotePrefix="0" xfId="0">
      <alignment horizontal="left" vertical="center" wrapText="1"/>
    </xf>
    <xf numFmtId="0" fontId="21" fillId="13" borderId="0" applyAlignment="1" pivotButton="0" quotePrefix="0" xfId="0">
      <alignment horizontal="center" vertical="center"/>
    </xf>
    <xf numFmtId="0" fontId="22" fillId="13" borderId="0" applyAlignment="1" pivotButton="0" quotePrefix="0" xfId="0">
      <alignment horizontal="left" vertical="center"/>
    </xf>
    <xf numFmtId="0" fontId="0" fillId="13" borderId="0" pivotButton="0" quotePrefix="0" xfId="0"/>
    <xf numFmtId="0" fontId="2" fillId="13" borderId="3" applyAlignment="1" pivotButton="0" quotePrefix="0" xfId="0">
      <alignment horizontal="center" vertical="center" wrapText="1"/>
    </xf>
    <xf numFmtId="0" fontId="23" fillId="2" borderId="4" applyAlignment="1" pivotButton="0" quotePrefix="0" xfId="0">
      <alignment horizontal="center" vertical="center" wrapText="1"/>
    </xf>
    <xf numFmtId="0" fontId="24" fillId="13" borderId="0" applyAlignment="1" pivotButton="0" quotePrefix="0" xfId="0">
      <alignment horizontal="center" vertical="center"/>
    </xf>
    <xf numFmtId="0" fontId="2" fillId="14" borderId="5" applyAlignment="1" pivotButton="0" quotePrefix="0" xfId="0">
      <alignment horizontal="right" vertical="center"/>
    </xf>
    <xf numFmtId="0" fontId="2" fillId="14" borderId="6" applyAlignment="1" pivotButton="0" quotePrefix="0" xfId="0">
      <alignment horizontal="left" vertical="center"/>
    </xf>
    <xf numFmtId="0" fontId="24" fillId="15" borderId="7" applyAlignment="1" pivotButton="0" quotePrefix="0" xfId="0">
      <alignment horizontal="right" vertical="center"/>
    </xf>
    <xf numFmtId="0" fontId="25" fillId="15" borderId="7" applyAlignment="1" pivotButton="0" quotePrefix="0" xfId="0">
      <alignment horizontal="center" vertical="center"/>
    </xf>
    <xf numFmtId="0" fontId="24" fillId="15" borderId="7" applyAlignment="1" pivotButton="0" quotePrefix="0" xfId="0">
      <alignment horizontal="left" vertical="center"/>
    </xf>
    <xf numFmtId="0" fontId="26" fillId="13" borderId="0" applyAlignment="1" pivotButton="0" quotePrefix="0" xfId="0">
      <alignment horizontal="center" vertical="center"/>
    </xf>
    <xf numFmtId="0" fontId="27" fillId="16" borderId="8" applyAlignment="1" pivotButton="0" quotePrefix="0" xfId="0">
      <alignment horizontal="right" vertical="center"/>
    </xf>
    <xf numFmtId="0" fontId="28" fillId="8" borderId="1" applyAlignment="1" pivotButton="0" quotePrefix="0" xfId="0">
      <alignment horizontal="center" vertical="center"/>
    </xf>
    <xf numFmtId="0" fontId="27" fillId="16" borderId="9" applyAlignment="1" pivotButton="0" quotePrefix="0" xfId="0">
      <alignment horizontal="left" vertical="center"/>
    </xf>
    <xf numFmtId="0" fontId="27" fillId="2" borderId="4" applyAlignment="1" pivotButton="0" quotePrefix="0" xfId="0">
      <alignment horizontal="center" vertical="center"/>
    </xf>
    <xf numFmtId="0" fontId="29" fillId="13" borderId="10" applyAlignment="1" pivotButton="0" quotePrefix="0" xfId="0">
      <alignment horizontal="center" vertical="center"/>
    </xf>
    <xf numFmtId="0" fontId="30" fillId="17" borderId="2" applyAlignment="1" pivotButton="0" quotePrefix="0" xfId="0">
      <alignment horizontal="left" vertical="center"/>
    </xf>
    <xf numFmtId="0" fontId="31" fillId="17" borderId="2" applyAlignment="1" pivotButton="0" quotePrefix="0" xfId="0">
      <alignment horizontal="left" vertical="center" wrapText="1"/>
    </xf>
    <xf numFmtId="0" fontId="30" fillId="17" borderId="2" applyAlignment="1" pivotButton="0" quotePrefix="0" xfId="0">
      <alignment horizontal="left" vertical="center" wrapText="1"/>
    </xf>
    <xf numFmtId="0" fontId="30" fillId="5" borderId="2" applyAlignment="1" pivotButton="0" quotePrefix="0" xfId="0">
      <alignment horizontal="left" vertical="center"/>
    </xf>
    <xf numFmtId="0" fontId="31" fillId="5" borderId="2" applyAlignment="1" pivotButton="0" quotePrefix="0" xfId="0">
      <alignment horizontal="left" vertical="center" wrapText="1"/>
    </xf>
    <xf numFmtId="0" fontId="30" fillId="5" borderId="2" applyAlignment="1" pivotButton="0" quotePrefix="0" xfId="0">
      <alignment horizontal="left" vertical="center" wrapText="1"/>
    </xf>
    <xf numFmtId="0" fontId="16" fillId="18" borderId="2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b val="1"/>
        <color rgb="00276221"/>
      </font>
      <fill>
        <patternFill patternType="solid">
          <fgColor rgb="00C6EFCE"/>
        </patternFill>
      </fill>
    </dxf>
    <dxf>
      <font>
        <color rgb="00276221"/>
      </font>
      <fill>
        <patternFill patternType="solid">
          <fgColor rgb="00E2EFDA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5" customWidth="1" min="4" max="4"/>
    <col width="5" customWidth="1" min="5" max="5"/>
    <col width="22" customWidth="1" min="6" max="6"/>
    <col width="20" customWidth="1" min="7" max="7"/>
    <col width="2" customWidth="1" min="8" max="8"/>
    <col width="3" customWidth="1" min="9" max="9"/>
    <col width="22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5" customWidth="1" min="17" max="17"/>
    <col width="5" customWidth="1" min="18" max="18"/>
    <col hidden="1" min="19" max="19"/>
  </cols>
  <sheetData>
    <row r="1" ht="24" customHeight="1">
      <c r="A1" s="1" t="inlineStr">
        <is>
          <t xml:space="preserve">  GROUP A  ·  ¡Salinator por Chequia! 🇨🇿</t>
        </is>
      </c>
    </row>
    <row r="2" ht="16" customHeight="1">
      <c r="I2" s="2" t="inlineStr">
        <is>
          <t>#</t>
        </is>
      </c>
      <c r="J2" s="2" t="inlineStr">
        <is>
          <t>Team</t>
        </is>
      </c>
      <c r="K2" s="2" t="inlineStr">
        <is>
          <t>GP</t>
        </is>
      </c>
      <c r="L2" s="2" t="inlineStr">
        <is>
          <t>W</t>
        </is>
      </c>
      <c r="M2" s="2" t="inlineStr">
        <is>
          <t>D</t>
        </is>
      </c>
      <c r="N2" s="2" t="inlineStr">
        <is>
          <t>L</t>
        </is>
      </c>
      <c r="O2" s="2" t="inlineStr">
        <is>
          <t>GF</t>
        </is>
      </c>
      <c r="P2" s="2" t="inlineStr">
        <is>
          <t>GA</t>
        </is>
      </c>
      <c r="Q2" s="2" t="inlineStr">
        <is>
          <t>GD</t>
        </is>
      </c>
      <c r="R2" s="2" t="inlineStr">
        <is>
          <t>Pts</t>
        </is>
      </c>
    </row>
    <row r="3" ht="17" customHeight="1">
      <c r="I3" s="3" t="inlineStr"/>
      <c r="J3" s="4" t="inlineStr">
        <is>
          <t>Mexico</t>
        </is>
      </c>
      <c r="K3" s="5">
        <f>IF(AND(D9&lt;&gt;"",E9&lt;&gt;""),1,0)+IF(AND(D12&lt;&gt;"",E12&lt;&gt;""),1,0)+IF(AND(D13&lt;&gt;"",E13&lt;&gt;""),1,0)</f>
        <v/>
      </c>
      <c r="L3" s="5">
        <f>IF(AND(D9&lt;&gt;"",E9&lt;&gt;"",D9&gt;E9),1,0)+IF(AND(D12&lt;&gt;"",E12&lt;&gt;"",D12&gt;E12),1,0)+IF(AND(D13&lt;&gt;"",E13&lt;&gt;"",E13&gt;D13),1,0)</f>
        <v/>
      </c>
      <c r="M3" s="5">
        <f>IF(AND(D9&lt;&gt;"",E9&lt;&gt;"",D9=E9),1,0)+IF(AND(D12&lt;&gt;"",E12&lt;&gt;"",D12=E12),1,0)+IF(AND(D13&lt;&gt;"",E13&lt;&gt;"",D13=E13),1,0)</f>
        <v/>
      </c>
      <c r="N3" s="5">
        <f>IF(AND(D9&lt;&gt;"",E9&lt;&gt;"",D9&lt;E9),1,0)+IF(AND(D12&lt;&gt;"",E12&lt;&gt;"",D12&lt;E12),1,0)+IF(AND(D13&lt;&gt;"",E13&lt;&gt;"",E13&lt;D13),1,0)</f>
        <v/>
      </c>
      <c r="O3" s="5">
        <f>IF(AND(D9&lt;&gt;"",E9&lt;&gt;""),D9,0)+IF(AND(D12&lt;&gt;"",E12&lt;&gt;""),D12,0)+IF(AND(D13&lt;&gt;"",E13&lt;&gt;""),E13,0)</f>
        <v/>
      </c>
      <c r="P3" s="5">
        <f>IF(AND(D9&lt;&gt;"",E9&lt;&gt;""),E9,0)+IF(AND(D12&lt;&gt;"",E12&lt;&gt;""),E12,0)+IF(AND(D13&lt;&gt;"",E13&lt;&gt;""),D13,0)</f>
        <v/>
      </c>
      <c r="Q3" s="5">
        <f>O3-P3</f>
        <v/>
      </c>
      <c r="R3" s="5">
        <f>3*L3+M3</f>
        <v/>
      </c>
      <c r="S3">
        <f>R3*10000000+(Q3+99)*100000+O3*100+4</f>
        <v/>
      </c>
    </row>
    <row r="4" ht="17" customHeight="1">
      <c r="I4" s="3" t="inlineStr"/>
      <c r="J4" s="4" t="inlineStr">
        <is>
          <t>South Korea</t>
        </is>
      </c>
      <c r="K4" s="5">
        <f>IF(AND(D10&lt;&gt;"",E10&lt;&gt;""),1,0)+IF(AND(D12&lt;&gt;"",E12&lt;&gt;""),1,0)+IF(AND(D14&lt;&gt;"",E14&lt;&gt;""),1,0)</f>
        <v/>
      </c>
      <c r="L4" s="5">
        <f>IF(AND(D10&lt;&gt;"",E10&lt;&gt;"",D10&gt;E10),1,0)+IF(AND(D12&lt;&gt;"",E12&lt;&gt;"",E12&gt;D12),1,0)+IF(AND(D14&lt;&gt;"",E14&lt;&gt;"",E14&gt;D14),1,0)</f>
        <v/>
      </c>
      <c r="M4" s="5">
        <f>IF(AND(D10&lt;&gt;"",E10&lt;&gt;"",D10=E10),1,0)+IF(AND(D12&lt;&gt;"",E12&lt;&gt;"",D12=E12),1,0)+IF(AND(D14&lt;&gt;"",E14&lt;&gt;"",D14=E14),1,0)</f>
        <v/>
      </c>
      <c r="N4" s="5">
        <f>IF(AND(D10&lt;&gt;"",E10&lt;&gt;"",D10&lt;E10),1,0)+IF(AND(D12&lt;&gt;"",E12&lt;&gt;"",E12&lt;D12),1,0)+IF(AND(D14&lt;&gt;"",E14&lt;&gt;"",E14&lt;D14),1,0)</f>
        <v/>
      </c>
      <c r="O4" s="5">
        <f>IF(AND(D10&lt;&gt;"",E10&lt;&gt;""),D10,0)+IF(AND(D12&lt;&gt;"",E12&lt;&gt;""),E12,0)+IF(AND(D14&lt;&gt;"",E14&lt;&gt;""),E14,0)</f>
        <v/>
      </c>
      <c r="P4" s="5">
        <f>IF(AND(D10&lt;&gt;"",E10&lt;&gt;""),E10,0)+IF(AND(D12&lt;&gt;"",E12&lt;&gt;""),D12,0)+IF(AND(D14&lt;&gt;"",E14&lt;&gt;""),D14,0)</f>
        <v/>
      </c>
      <c r="Q4" s="5">
        <f>O4-P4</f>
        <v/>
      </c>
      <c r="R4" s="5">
        <f>3*L4+M4</f>
        <v/>
      </c>
      <c r="S4">
        <f>R4*10000000+(Q4+99)*100000+O4*100+3</f>
        <v/>
      </c>
    </row>
    <row r="5" ht="17" customHeight="1">
      <c r="I5" s="3" t="inlineStr"/>
      <c r="J5" s="4" t="inlineStr">
        <is>
          <t>South Africa</t>
        </is>
      </c>
      <c r="K5" s="5">
        <f>IF(AND(D14&lt;&gt;"",E14&lt;&gt;""),1,0)+IF(AND(D9&lt;&gt;"",E9&lt;&gt;""),1,0)+IF(AND(D11&lt;&gt;"",E11&lt;&gt;""),1,0)</f>
        <v/>
      </c>
      <c r="L5" s="5">
        <f>IF(AND(D14&lt;&gt;"",E14&lt;&gt;"",D14&gt;E14),1,0)+IF(AND(D9&lt;&gt;"",E9&lt;&gt;"",E9&gt;D9),1,0)+IF(AND(D11&lt;&gt;"",E11&lt;&gt;"",E11&gt;D11),1,0)</f>
        <v/>
      </c>
      <c r="M5" s="5">
        <f>IF(AND(D14&lt;&gt;"",E14&lt;&gt;"",D14=E14),1,0)+IF(AND(D9&lt;&gt;"",E9&lt;&gt;"",D9=E9),1,0)+IF(AND(D11&lt;&gt;"",E11&lt;&gt;"",D11=E11),1,0)</f>
        <v/>
      </c>
      <c r="N5" s="5">
        <f>IF(AND(D14&lt;&gt;"",E14&lt;&gt;"",D14&lt;E14),1,0)+IF(AND(D9&lt;&gt;"",E9&lt;&gt;"",E9&lt;D9),1,0)+IF(AND(D11&lt;&gt;"",E11&lt;&gt;"",E11&lt;D11),1,0)</f>
        <v/>
      </c>
      <c r="O5" s="5">
        <f>IF(AND(D14&lt;&gt;"",E14&lt;&gt;""),D14,0)+IF(AND(D9&lt;&gt;"",E9&lt;&gt;""),E9,0)+IF(AND(D11&lt;&gt;"",E11&lt;&gt;""),E11,0)</f>
        <v/>
      </c>
      <c r="P5" s="5">
        <f>IF(AND(D14&lt;&gt;"",E14&lt;&gt;""),E14,0)+IF(AND(D9&lt;&gt;"",E9&lt;&gt;""),D9,0)+IF(AND(D11&lt;&gt;"",E11&lt;&gt;""),D11,0)</f>
        <v/>
      </c>
      <c r="Q5" s="5">
        <f>O5-P5</f>
        <v/>
      </c>
      <c r="R5" s="5">
        <f>3*L5+M5</f>
        <v/>
      </c>
      <c r="S5">
        <f>R5*10000000+(Q5+99)*100000+O5*100+2</f>
        <v/>
      </c>
    </row>
    <row r="6" ht="17" customHeight="1">
      <c r="I6" s="3" t="inlineStr"/>
      <c r="J6" s="4" t="inlineStr">
        <is>
          <t>Czech Republic</t>
        </is>
      </c>
      <c r="K6" s="5">
        <f>IF(AND(D11&lt;&gt;"",E11&lt;&gt;""),1,0)+IF(AND(D13&lt;&gt;"",E13&lt;&gt;""),1,0)+IF(AND(D10&lt;&gt;"",E10&lt;&gt;""),1,0)</f>
        <v/>
      </c>
      <c r="L6" s="5">
        <f>IF(AND(D11&lt;&gt;"",E11&lt;&gt;"",D11&gt;E11),1,0)+IF(AND(D13&lt;&gt;"",E13&lt;&gt;"",D13&gt;E13),1,0)+IF(AND(D10&lt;&gt;"",E10&lt;&gt;"",E10&gt;D10),1,0)</f>
        <v/>
      </c>
      <c r="M6" s="5">
        <f>IF(AND(D11&lt;&gt;"",E11&lt;&gt;"",D11=E11),1,0)+IF(AND(D13&lt;&gt;"",E13&lt;&gt;"",D13=E13),1,0)+IF(AND(D10&lt;&gt;"",E10&lt;&gt;"",D10=E10),1,0)</f>
        <v/>
      </c>
      <c r="N6" s="5">
        <f>IF(AND(D11&lt;&gt;"",E11&lt;&gt;"",D11&lt;E11),1,0)+IF(AND(D13&lt;&gt;"",E13&lt;&gt;"",D13&lt;E13),1,0)+IF(AND(D10&lt;&gt;"",E10&lt;&gt;"",E10&lt;D10),1,0)</f>
        <v/>
      </c>
      <c r="O6" s="5">
        <f>IF(AND(D11&lt;&gt;"",E11&lt;&gt;""),D11,0)+IF(AND(D13&lt;&gt;"",E13&lt;&gt;""),D13,0)+IF(AND(D10&lt;&gt;"",E10&lt;&gt;""),E10,0)</f>
        <v/>
      </c>
      <c r="P6" s="5">
        <f>IF(AND(D11&lt;&gt;"",E11&lt;&gt;""),E11,0)+IF(AND(D13&lt;&gt;"",E13&lt;&gt;""),E13,0)+IF(AND(D10&lt;&gt;"",E10&lt;&gt;""),D10,0)</f>
        <v/>
      </c>
      <c r="Q6" s="5">
        <f>O6-P6</f>
        <v/>
      </c>
      <c r="R6" s="5">
        <f>3*L6+M6</f>
        <v/>
      </c>
      <c r="S6">
        <f>R6*10000000+(Q6+99)*100000+O6*100+1</f>
        <v/>
      </c>
    </row>
    <row r="8" ht="16" customHeight="1">
      <c r="A8" s="6" t="inlineStr">
        <is>
          <t>MD</t>
        </is>
      </c>
      <c r="B8" s="6" t="inlineStr">
        <is>
          <t>Date / Time (ET)</t>
        </is>
      </c>
      <c r="C8" s="6" t="inlineStr">
        <is>
          <t>Home Team</t>
        </is>
      </c>
      <c r="D8" s="6" t="inlineStr">
        <is>
          <t>G</t>
        </is>
      </c>
      <c r="E8" s="6" t="inlineStr">
        <is>
          <t>G</t>
        </is>
      </c>
      <c r="F8" s="6" t="inlineStr">
        <is>
          <t>Away Team</t>
        </is>
      </c>
      <c r="G8" s="6" t="inlineStr">
        <is>
          <t>Venue</t>
        </is>
      </c>
    </row>
    <row r="9" ht="20" customHeight="1">
      <c r="A9" s="7" t="n">
        <v>1</v>
      </c>
      <c r="B9" s="8" t="inlineStr">
        <is>
          <t>Jun 11 · 3 pm ET</t>
        </is>
      </c>
      <c r="C9" s="9" t="inlineStr">
        <is>
          <t>Mexico</t>
        </is>
      </c>
      <c r="D9" s="10" t="n"/>
      <c r="E9" s="10" t="n"/>
      <c r="F9" s="9" t="inlineStr">
        <is>
          <t>South Africa</t>
        </is>
      </c>
      <c r="G9" s="11" t="inlineStr">
        <is>
          <t>Mexico City</t>
        </is>
      </c>
    </row>
    <row r="10" ht="20" customHeight="1">
      <c r="A10" s="7" t="n">
        <v>1</v>
      </c>
      <c r="B10" s="8" t="inlineStr">
        <is>
          <t>Jun 11 · 10 pm ET</t>
        </is>
      </c>
      <c r="C10" s="9" t="inlineStr">
        <is>
          <t>South Korea</t>
        </is>
      </c>
      <c r="D10" s="10" t="n"/>
      <c r="E10" s="10" t="n"/>
      <c r="F10" s="9" t="inlineStr">
        <is>
          <t>Czech Republic</t>
        </is>
      </c>
      <c r="G10" s="11" t="inlineStr">
        <is>
          <t>Guadalajara</t>
        </is>
      </c>
    </row>
    <row r="11" ht="20" customHeight="1">
      <c r="A11" s="7" t="n">
        <v>2</v>
      </c>
      <c r="B11" s="8" t="inlineStr">
        <is>
          <t>Jun 18 · 12 pm ET</t>
        </is>
      </c>
      <c r="C11" s="9" t="inlineStr">
        <is>
          <t>Czech Republic</t>
        </is>
      </c>
      <c r="D11" s="10" t="n"/>
      <c r="E11" s="10" t="n"/>
      <c r="F11" s="9" t="inlineStr">
        <is>
          <t>South Africa</t>
        </is>
      </c>
      <c r="G11" s="11" t="inlineStr">
        <is>
          <t>Atlanta</t>
        </is>
      </c>
    </row>
    <row r="12" ht="20" customHeight="1">
      <c r="A12" s="7" t="n">
        <v>2</v>
      </c>
      <c r="B12" s="8" t="inlineStr">
        <is>
          <t>Jun 18 · 9 pm ET</t>
        </is>
      </c>
      <c r="C12" s="9" t="inlineStr">
        <is>
          <t>Mexico</t>
        </is>
      </c>
      <c r="D12" s="10" t="n"/>
      <c r="E12" s="10" t="n"/>
      <c r="F12" s="9" t="inlineStr">
        <is>
          <t>South Korea</t>
        </is>
      </c>
      <c r="G12" s="11" t="inlineStr">
        <is>
          <t>Guadalajara</t>
        </is>
      </c>
    </row>
    <row r="13" ht="20" customHeight="1">
      <c r="A13" s="7" t="n">
        <v>3</v>
      </c>
      <c r="B13" s="8" t="inlineStr">
        <is>
          <t>Jun 24 · 9 pm ET</t>
        </is>
      </c>
      <c r="C13" s="9" t="inlineStr">
        <is>
          <t>Czech Republic</t>
        </is>
      </c>
      <c r="D13" s="10" t="n"/>
      <c r="E13" s="10" t="n"/>
      <c r="F13" s="9" t="inlineStr">
        <is>
          <t>Mexico</t>
        </is>
      </c>
      <c r="G13" s="11" t="inlineStr">
        <is>
          <t>Mexico City</t>
        </is>
      </c>
    </row>
    <row r="14" ht="20" customHeight="1">
      <c r="A14" s="7" t="n">
        <v>3</v>
      </c>
      <c r="B14" s="8" t="inlineStr">
        <is>
          <t>Jun 24 · 9 pm ET</t>
        </is>
      </c>
      <c r="C14" s="9" t="inlineStr">
        <is>
          <t>South Africa</t>
        </is>
      </c>
      <c r="D14" s="10" t="n"/>
      <c r="E14" s="10" t="n"/>
      <c r="F14" s="9" t="inlineStr">
        <is>
          <t>South Korea</t>
        </is>
      </c>
      <c r="G14" s="11" t="inlineStr">
        <is>
          <t>Monterrey</t>
        </is>
      </c>
    </row>
    <row r="17" ht="24" customHeight="1">
      <c r="A17" s="12" t="inlineStr">
        <is>
          <t xml:space="preserve">  GROUP B</t>
        </is>
      </c>
    </row>
    <row r="18" ht="16" customHeight="1">
      <c r="I18" s="2" t="inlineStr">
        <is>
          <t>#</t>
        </is>
      </c>
      <c r="J18" s="2" t="inlineStr">
        <is>
          <t>Team</t>
        </is>
      </c>
      <c r="K18" s="2" t="inlineStr">
        <is>
          <t>GP</t>
        </is>
      </c>
      <c r="L18" s="2" t="inlineStr">
        <is>
          <t>W</t>
        </is>
      </c>
      <c r="M18" s="2" t="inlineStr">
        <is>
          <t>D</t>
        </is>
      </c>
      <c r="N18" s="2" t="inlineStr">
        <is>
          <t>L</t>
        </is>
      </c>
      <c r="O18" s="2" t="inlineStr">
        <is>
          <t>GF</t>
        </is>
      </c>
      <c r="P18" s="2" t="inlineStr">
        <is>
          <t>GA</t>
        </is>
      </c>
      <c r="Q18" s="2" t="inlineStr">
        <is>
          <t>GD</t>
        </is>
      </c>
      <c r="R18" s="2" t="inlineStr">
        <is>
          <t>Pts</t>
        </is>
      </c>
    </row>
    <row r="19" ht="17" customHeight="1">
      <c r="I19" s="3" t="inlineStr"/>
      <c r="J19" s="4" t="inlineStr">
        <is>
          <t>Canada</t>
        </is>
      </c>
      <c r="K19" s="5">
        <f>IF(AND(D25&lt;&gt;"",E25&lt;&gt;""),1,0)+IF(AND(D28&lt;&gt;"",E28&lt;&gt;""),1,0)+IF(AND(D29&lt;&gt;"",E29&lt;&gt;""),1,0)</f>
        <v/>
      </c>
      <c r="L19" s="5">
        <f>IF(AND(D25&lt;&gt;"",E25&lt;&gt;"",D25&gt;E25),1,0)+IF(AND(D28&lt;&gt;"",E28&lt;&gt;"",D28&gt;E28),1,0)+IF(AND(D29&lt;&gt;"",E29&lt;&gt;"",D29&gt;E29),1,0)</f>
        <v/>
      </c>
      <c r="M19" s="5">
        <f>IF(AND(D25&lt;&gt;"",E25&lt;&gt;"",D25=E25),1,0)+IF(AND(D28&lt;&gt;"",E28&lt;&gt;"",D28=E28),1,0)+IF(AND(D29&lt;&gt;"",E29&lt;&gt;"",D29=E29),1,0)</f>
        <v/>
      </c>
      <c r="N19" s="5">
        <f>IF(AND(D25&lt;&gt;"",E25&lt;&gt;"",D25&lt;E25),1,0)+IF(AND(D28&lt;&gt;"",E28&lt;&gt;"",D28&lt;E28),1,0)+IF(AND(D29&lt;&gt;"",E29&lt;&gt;"",D29&lt;E29),1,0)</f>
        <v/>
      </c>
      <c r="O19" s="5">
        <f>IF(AND(D25&lt;&gt;"",E25&lt;&gt;""),D25,0)+IF(AND(D28&lt;&gt;"",E28&lt;&gt;""),D28,0)+IF(AND(D29&lt;&gt;"",E29&lt;&gt;""),D29,0)+0</f>
        <v/>
      </c>
      <c r="P19" s="5">
        <f>IF(AND(D25&lt;&gt;"",E25&lt;&gt;""),E25,0)+IF(AND(D28&lt;&gt;"",E28&lt;&gt;""),E28,0)+IF(AND(D29&lt;&gt;"",E29&lt;&gt;""),E29,0)+0</f>
        <v/>
      </c>
      <c r="Q19" s="5">
        <f>O19-P19</f>
        <v/>
      </c>
      <c r="R19" s="5">
        <f>3*L19+M19</f>
        <v/>
      </c>
      <c r="S19">
        <f>R19*10000000+(Q19+99)*100000+O19*100+4</f>
        <v/>
      </c>
    </row>
    <row r="20" ht="17" customHeight="1">
      <c r="I20" s="3" t="inlineStr"/>
      <c r="J20" s="4" t="inlineStr">
        <is>
          <t>Switzerland</t>
        </is>
      </c>
      <c r="K20" s="5">
        <f>IF(AND(D27&lt;&gt;"",E27&lt;&gt;""),1,0)+IF(AND(D26&lt;&gt;"",E26&lt;&gt;""),1,0)+IF(AND(D29&lt;&gt;"",E29&lt;&gt;""),1,0)</f>
        <v/>
      </c>
      <c r="L20" s="5">
        <f>IF(AND(D27&lt;&gt;"",E27&lt;&gt;"",D27&gt;E27),1,0)+IF(AND(D26&lt;&gt;"",E26&lt;&gt;"",E26&gt;D26),1,0)+IF(AND(D29&lt;&gt;"",E29&lt;&gt;"",E29&gt;D29),1,0)</f>
        <v/>
      </c>
      <c r="M20" s="5">
        <f>IF(AND(D27&lt;&gt;"",E27&lt;&gt;"",D27=E27),1,0)+IF(AND(D26&lt;&gt;"",E26&lt;&gt;"",D26=E26),1,0)+IF(AND(D29&lt;&gt;"",E29&lt;&gt;"",D29=E29),1,0)</f>
        <v/>
      </c>
      <c r="N20" s="5">
        <f>IF(AND(D27&lt;&gt;"",E27&lt;&gt;"",D27&lt;E27),1,0)+IF(AND(D26&lt;&gt;"",E26&lt;&gt;"",E26&lt;D26),1,0)+IF(AND(D29&lt;&gt;"",E29&lt;&gt;"",E29&lt;D29),1,0)</f>
        <v/>
      </c>
      <c r="O20" s="5">
        <f>IF(AND(D27&lt;&gt;"",E27&lt;&gt;""),D27,0)+IF(AND(D26&lt;&gt;"",E26&lt;&gt;""),E26,0)+IF(AND(D29&lt;&gt;"",E29&lt;&gt;""),E29,0)</f>
        <v/>
      </c>
      <c r="P20" s="5">
        <f>IF(AND(D27&lt;&gt;"",E27&lt;&gt;""),E27,0)+IF(AND(D26&lt;&gt;"",E26&lt;&gt;""),D26,0)+IF(AND(D29&lt;&gt;"",E29&lt;&gt;""),D29,0)</f>
        <v/>
      </c>
      <c r="Q20" s="5">
        <f>O20-P20</f>
        <v/>
      </c>
      <c r="R20" s="5">
        <f>3*L20+M20</f>
        <v/>
      </c>
      <c r="S20">
        <f>R20*10000000+(Q20+99)*100000+O20*100+3</f>
        <v/>
      </c>
    </row>
    <row r="21" ht="17" customHeight="1">
      <c r="I21" s="3" t="inlineStr"/>
      <c r="J21" s="4" t="inlineStr">
        <is>
          <t>Qatar</t>
        </is>
      </c>
      <c r="K21" s="5">
        <f>IF(AND(D26&lt;&gt;"",E26&lt;&gt;""),1,0)+IF(AND(D28&lt;&gt;"",E28&lt;&gt;""),1,0)+IF(AND(D30&lt;&gt;"",E30&lt;&gt;""),1,0)</f>
        <v/>
      </c>
      <c r="L21" s="5">
        <f>IF(AND(D26&lt;&gt;"",E26&lt;&gt;"",D26&gt;E26),1,0)+IF(AND(D28&lt;&gt;"",E28&lt;&gt;"",E28&gt;D28),1,0)+IF(AND(D30&lt;&gt;"",E30&lt;&gt;"",E30&gt;D30),1,0)</f>
        <v/>
      </c>
      <c r="M21" s="5">
        <f>IF(AND(D26&lt;&gt;"",E26&lt;&gt;"",D26=E26),1,0)+IF(AND(D28&lt;&gt;"",E28&lt;&gt;"",D28=E28),1,0)+IF(AND(D30&lt;&gt;"",E30&lt;&gt;"",D30=E30),1,0)</f>
        <v/>
      </c>
      <c r="N21" s="5">
        <f>IF(AND(D26&lt;&gt;"",E26&lt;&gt;"",D26&lt;E26),1,0)+IF(AND(D28&lt;&gt;"",E28&lt;&gt;"",E28&lt;D28),1,0)+IF(AND(D30&lt;&gt;"",E30&lt;&gt;"",E30&lt;D30),1,0)</f>
        <v/>
      </c>
      <c r="O21" s="5">
        <f>IF(AND(D26&lt;&gt;"",E26&lt;&gt;""),D26,0)+IF(AND(D28&lt;&gt;"",E28&lt;&gt;""),E28,0)+IF(AND(D30&lt;&gt;"",E30&lt;&gt;""),E30,0)</f>
        <v/>
      </c>
      <c r="P21" s="5">
        <f>IF(AND(D26&lt;&gt;"",E26&lt;&gt;""),E26,0)+IF(AND(D28&lt;&gt;"",E28&lt;&gt;""),D28,0)+IF(AND(D30&lt;&gt;"",E30&lt;&gt;""),D30,0)</f>
        <v/>
      </c>
      <c r="Q21" s="5">
        <f>O21-P21</f>
        <v/>
      </c>
      <c r="R21" s="5">
        <f>3*L21+M21</f>
        <v/>
      </c>
      <c r="S21">
        <f>R21*10000000+(Q21+99)*100000+O21*100+2</f>
        <v/>
      </c>
    </row>
    <row r="22" ht="17" customHeight="1">
      <c r="I22" s="3" t="inlineStr"/>
      <c r="J22" s="4" t="inlineStr">
        <is>
          <t>Bosnia &amp; Herzegovina</t>
        </is>
      </c>
      <c r="K22" s="5">
        <f>IF(AND(D30&lt;&gt;"",E30&lt;&gt;""),1,0)+IF(AND(D25&lt;&gt;"",E25&lt;&gt;""),1,0)+IF(AND(D27&lt;&gt;"",E27&lt;&gt;""),1,0)</f>
        <v/>
      </c>
      <c r="L22" s="5">
        <f>IF(AND(D30&lt;&gt;"",E30&lt;&gt;"",D30&gt;E30),1,0)+IF(AND(D25&lt;&gt;"",E25&lt;&gt;"",E25&gt;D25),1,0)+IF(AND(D27&lt;&gt;"",E27&lt;&gt;"",E27&gt;D27),1,0)</f>
        <v/>
      </c>
      <c r="M22" s="5">
        <f>IF(AND(D30&lt;&gt;"",E30&lt;&gt;"",D30=E30),1,0)+IF(AND(D25&lt;&gt;"",E25&lt;&gt;"",D25=E25),1,0)+IF(AND(D27&lt;&gt;"",E27&lt;&gt;"",D27=E27),1,0)</f>
        <v/>
      </c>
      <c r="N22" s="5">
        <f>IF(AND(D30&lt;&gt;"",E30&lt;&gt;"",D30&lt;E30),1,0)+IF(AND(D25&lt;&gt;"",E25&lt;&gt;"",E25&lt;D25),1,0)+IF(AND(D27&lt;&gt;"",E27&lt;&gt;"",E27&lt;D27),1,0)</f>
        <v/>
      </c>
      <c r="O22" s="5">
        <f>IF(AND(D30&lt;&gt;"",E30&lt;&gt;""),D30,0)+IF(AND(D25&lt;&gt;"",E25&lt;&gt;""),E25,0)+IF(AND(D27&lt;&gt;"",E27&lt;&gt;""),E27,0)</f>
        <v/>
      </c>
      <c r="P22" s="5">
        <f>IF(AND(D30&lt;&gt;"",E30&lt;&gt;""),E30,0)+IF(AND(D25&lt;&gt;"",E25&lt;&gt;""),D25,0)+IF(AND(D27&lt;&gt;"",E27&lt;&gt;""),D27,0)</f>
        <v/>
      </c>
      <c r="Q22" s="5">
        <f>O22-P22</f>
        <v/>
      </c>
      <c r="R22" s="5">
        <f>3*L22+M22</f>
        <v/>
      </c>
      <c r="S22">
        <f>R22*10000000+(Q22+99)*100000+O22*100+1</f>
        <v/>
      </c>
    </row>
    <row r="24" ht="16" customHeight="1">
      <c r="A24" s="6" t="inlineStr">
        <is>
          <t>MD</t>
        </is>
      </c>
      <c r="B24" s="6" t="inlineStr">
        <is>
          <t>Date / Time (ET)</t>
        </is>
      </c>
      <c r="C24" s="6" t="inlineStr">
        <is>
          <t>Home Team</t>
        </is>
      </c>
      <c r="D24" s="6" t="inlineStr">
        <is>
          <t>G</t>
        </is>
      </c>
      <c r="E24" s="6" t="inlineStr">
        <is>
          <t>G</t>
        </is>
      </c>
      <c r="F24" s="6" t="inlineStr">
        <is>
          <t>Away Team</t>
        </is>
      </c>
      <c r="G24" s="6" t="inlineStr">
        <is>
          <t>Venue</t>
        </is>
      </c>
    </row>
    <row r="25" ht="20" customHeight="1">
      <c r="A25" s="7" t="n">
        <v>1</v>
      </c>
      <c r="B25" s="8" t="inlineStr">
        <is>
          <t>Jun 12 · 3 pm ET</t>
        </is>
      </c>
      <c r="C25" s="9" t="inlineStr">
        <is>
          <t>Canada</t>
        </is>
      </c>
      <c r="D25" s="10" t="n"/>
      <c r="E25" s="10" t="n"/>
      <c r="F25" s="9" t="inlineStr">
        <is>
          <t>Bosnia &amp; Herzegovina</t>
        </is>
      </c>
      <c r="G25" s="11" t="inlineStr">
        <is>
          <t>Toronto</t>
        </is>
      </c>
    </row>
    <row r="26" ht="20" customHeight="1">
      <c r="A26" s="7" t="n">
        <v>1</v>
      </c>
      <c r="B26" s="8" t="inlineStr">
        <is>
          <t>Jun 13 · 3 pm ET</t>
        </is>
      </c>
      <c r="C26" s="9" t="inlineStr">
        <is>
          <t>Qatar</t>
        </is>
      </c>
      <c r="D26" s="10" t="n"/>
      <c r="E26" s="10" t="n"/>
      <c r="F26" s="9" t="inlineStr">
        <is>
          <t>Switzerland</t>
        </is>
      </c>
      <c r="G26" s="11" t="inlineStr">
        <is>
          <t>San Francisco</t>
        </is>
      </c>
    </row>
    <row r="27" ht="20" customHeight="1">
      <c r="A27" s="7" t="n">
        <v>2</v>
      </c>
      <c r="B27" s="8" t="inlineStr">
        <is>
          <t>Jun 18 · 3 pm ET</t>
        </is>
      </c>
      <c r="C27" s="9" t="inlineStr">
        <is>
          <t>Switzerland</t>
        </is>
      </c>
      <c r="D27" s="10" t="n"/>
      <c r="E27" s="10" t="n"/>
      <c r="F27" s="9" t="inlineStr">
        <is>
          <t>Bosnia &amp; Herzegovina</t>
        </is>
      </c>
      <c r="G27" s="11" t="inlineStr">
        <is>
          <t>Los Angeles</t>
        </is>
      </c>
    </row>
    <row r="28" ht="20" customHeight="1">
      <c r="A28" s="7" t="n">
        <v>2</v>
      </c>
      <c r="B28" s="8" t="inlineStr">
        <is>
          <t>Jun 18 · 6 pm ET</t>
        </is>
      </c>
      <c r="C28" s="9" t="inlineStr">
        <is>
          <t>Canada</t>
        </is>
      </c>
      <c r="D28" s="10" t="n"/>
      <c r="E28" s="10" t="n"/>
      <c r="F28" s="9" t="inlineStr">
        <is>
          <t>Qatar</t>
        </is>
      </c>
      <c r="G28" s="11" t="inlineStr">
        <is>
          <t>Vancouver</t>
        </is>
      </c>
    </row>
    <row r="29" ht="20" customHeight="1">
      <c r="A29" s="7" t="n">
        <v>3</v>
      </c>
      <c r="B29" s="8" t="inlineStr">
        <is>
          <t>Jun 24 · 3 pm ET</t>
        </is>
      </c>
      <c r="C29" s="9" t="inlineStr">
        <is>
          <t>Canada</t>
        </is>
      </c>
      <c r="D29" s="10" t="n"/>
      <c r="E29" s="10" t="n"/>
      <c r="F29" s="9" t="inlineStr">
        <is>
          <t>Switzerland</t>
        </is>
      </c>
      <c r="G29" s="11" t="inlineStr">
        <is>
          <t>Vancouver</t>
        </is>
      </c>
    </row>
    <row r="30" ht="20" customHeight="1">
      <c r="A30" s="7" t="n">
        <v>3</v>
      </c>
      <c r="B30" s="8" t="inlineStr">
        <is>
          <t>Jun 24 · 3 pm ET</t>
        </is>
      </c>
      <c r="C30" s="9" t="inlineStr">
        <is>
          <t>Bosnia &amp; Herzegovina</t>
        </is>
      </c>
      <c r="D30" s="10" t="n"/>
      <c r="E30" s="10" t="n"/>
      <c r="F30" s="9" t="inlineStr">
        <is>
          <t>Qatar</t>
        </is>
      </c>
      <c r="G30" s="11" t="inlineStr">
        <is>
          <t>Seattle</t>
        </is>
      </c>
    </row>
    <row r="33" ht="24" customHeight="1">
      <c r="A33" s="12" t="inlineStr">
        <is>
          <t xml:space="preserve">  GROUP C</t>
        </is>
      </c>
    </row>
    <row r="34" ht="16" customHeight="1">
      <c r="I34" s="2" t="inlineStr">
        <is>
          <t>#</t>
        </is>
      </c>
      <c r="J34" s="2" t="inlineStr">
        <is>
          <t>Team</t>
        </is>
      </c>
      <c r="K34" s="2" t="inlineStr">
        <is>
          <t>GP</t>
        </is>
      </c>
      <c r="L34" s="2" t="inlineStr">
        <is>
          <t>W</t>
        </is>
      </c>
      <c r="M34" s="2" t="inlineStr">
        <is>
          <t>D</t>
        </is>
      </c>
      <c r="N34" s="2" t="inlineStr">
        <is>
          <t>L</t>
        </is>
      </c>
      <c r="O34" s="2" t="inlineStr">
        <is>
          <t>GF</t>
        </is>
      </c>
      <c r="P34" s="2" t="inlineStr">
        <is>
          <t>GA</t>
        </is>
      </c>
      <c r="Q34" s="2" t="inlineStr">
        <is>
          <t>GD</t>
        </is>
      </c>
      <c r="R34" s="2" t="inlineStr">
        <is>
          <t>Pts</t>
        </is>
      </c>
    </row>
    <row r="35" ht="17" customHeight="1">
      <c r="I35" s="3" t="inlineStr"/>
      <c r="J35" s="4" t="inlineStr">
        <is>
          <t>Brazil</t>
        </is>
      </c>
      <c r="K35" s="5">
        <f>IF(AND(D41&lt;&gt;"",E41&lt;&gt;""),1,0)+IF(AND(D44&lt;&gt;"",E44&lt;&gt;""),1,0)+IF(AND(D45&lt;&gt;"",E45&lt;&gt;""),1,0)</f>
        <v/>
      </c>
      <c r="L35" s="5">
        <f>IF(AND(D41&lt;&gt;"",E41&lt;&gt;"",D41&gt;E41),1,0)+IF(AND(D44&lt;&gt;"",E44&lt;&gt;"",D44&gt;E44),1,0)+IF(AND(D45&lt;&gt;"",E45&lt;&gt;"",E45&gt;D45),1,0)</f>
        <v/>
      </c>
      <c r="M35" s="5">
        <f>IF(AND(D41&lt;&gt;"",E41&lt;&gt;"",D41=E41),1,0)+IF(AND(D44&lt;&gt;"",E44&lt;&gt;"",D44=E44),1,0)+IF(AND(D45&lt;&gt;"",E45&lt;&gt;"",D45=E45),1,0)</f>
        <v/>
      </c>
      <c r="N35" s="5">
        <f>IF(AND(D41&lt;&gt;"",E41&lt;&gt;"",D41&lt;E41),1,0)+IF(AND(D44&lt;&gt;"",E44&lt;&gt;"",D44&lt;E44),1,0)+IF(AND(D45&lt;&gt;"",E45&lt;&gt;"",E45&lt;D45),1,0)</f>
        <v/>
      </c>
      <c r="O35" s="5">
        <f>IF(AND(D41&lt;&gt;"",E41&lt;&gt;""),D41,0)+IF(AND(D44&lt;&gt;"",E44&lt;&gt;""),D44,0)+IF(AND(D45&lt;&gt;"",E45&lt;&gt;""),E45,0)</f>
        <v/>
      </c>
      <c r="P35" s="5">
        <f>IF(AND(D41&lt;&gt;"",E41&lt;&gt;""),E41,0)+IF(AND(D44&lt;&gt;"",E44&lt;&gt;""),E44,0)+IF(AND(D45&lt;&gt;"",E45&lt;&gt;""),D45,0)</f>
        <v/>
      </c>
      <c r="Q35" s="5">
        <f>O35-P35</f>
        <v/>
      </c>
      <c r="R35" s="5">
        <f>3*L35+M35</f>
        <v/>
      </c>
      <c r="S35">
        <f>R35*10000000+(Q35+99)*100000+O35*100+4</f>
        <v/>
      </c>
    </row>
    <row r="36" ht="17" customHeight="1">
      <c r="I36" s="3" t="inlineStr"/>
      <c r="J36" s="4" t="inlineStr">
        <is>
          <t>Morocco</t>
        </is>
      </c>
      <c r="K36" s="5">
        <f>IF(AND(D46&lt;&gt;"",E46&lt;&gt;""),1,0)+IF(AND(D41&lt;&gt;"",E41&lt;&gt;""),1,0)+IF(AND(D43&lt;&gt;"",E43&lt;&gt;""),1,0)</f>
        <v/>
      </c>
      <c r="L36" s="5">
        <f>IF(AND(D46&lt;&gt;"",E46&lt;&gt;"",D46&gt;E46),1,0)+IF(AND(D41&lt;&gt;"",E41&lt;&gt;"",E41&gt;D41),1,0)+IF(AND(D43&lt;&gt;"",E43&lt;&gt;"",E43&gt;D43),1,0)</f>
        <v/>
      </c>
      <c r="M36" s="5">
        <f>IF(AND(D46&lt;&gt;"",E46&lt;&gt;"",D46=E46),1,0)+IF(AND(D41&lt;&gt;"",E41&lt;&gt;"",D41=E41),1,0)+IF(AND(D43&lt;&gt;"",E43&lt;&gt;"",D43=E43),1,0)</f>
        <v/>
      </c>
      <c r="N36" s="5">
        <f>IF(AND(D46&lt;&gt;"",E46&lt;&gt;"",D46&lt;E46),1,0)+IF(AND(D41&lt;&gt;"",E41&lt;&gt;"",E41&lt;D41),1,0)+IF(AND(D43&lt;&gt;"",E43&lt;&gt;"",E43&lt;D43),1,0)</f>
        <v/>
      </c>
      <c r="O36" s="5">
        <f>IF(AND(D46&lt;&gt;"",E46&lt;&gt;""),D46,0)+IF(AND(D41&lt;&gt;"",E41&lt;&gt;""),E41,0)+IF(AND(D43&lt;&gt;"",E43&lt;&gt;""),E43,0)</f>
        <v/>
      </c>
      <c r="P36" s="5">
        <f>IF(AND(D46&lt;&gt;"",E46&lt;&gt;""),E46,0)+IF(AND(D41&lt;&gt;"",E41&lt;&gt;""),D41,0)+IF(AND(D43&lt;&gt;"",E43&lt;&gt;""),D43,0)</f>
        <v/>
      </c>
      <c r="Q36" s="5">
        <f>O36-P36</f>
        <v/>
      </c>
      <c r="R36" s="5">
        <f>3*L36+M36</f>
        <v/>
      </c>
      <c r="S36">
        <f>R36*10000000+(Q36+99)*100000+O36*100+3</f>
        <v/>
      </c>
    </row>
    <row r="37" ht="17" customHeight="1">
      <c r="I37" s="3" t="inlineStr"/>
      <c r="J37" s="4" t="inlineStr">
        <is>
          <t>Scotland</t>
        </is>
      </c>
      <c r="K37" s="5">
        <f>IF(AND(D43&lt;&gt;"",E43&lt;&gt;""),1,0)+IF(AND(D45&lt;&gt;"",E45&lt;&gt;""),1,0)+IF(AND(D42&lt;&gt;"",E42&lt;&gt;""),1,0)</f>
        <v/>
      </c>
      <c r="L37" s="5">
        <f>IF(AND(D43&lt;&gt;"",E43&lt;&gt;"",D43&gt;E43),1,0)+IF(AND(D45&lt;&gt;"",E45&lt;&gt;"",D45&gt;E45),1,0)+IF(AND(D42&lt;&gt;"",E42&lt;&gt;"",E42&gt;D42),1,0)</f>
        <v/>
      </c>
      <c r="M37" s="5">
        <f>IF(AND(D43&lt;&gt;"",E43&lt;&gt;"",D43=E43),1,0)+IF(AND(D45&lt;&gt;"",E45&lt;&gt;"",D45=E45),1,0)+IF(AND(D42&lt;&gt;"",E42&lt;&gt;"",D42=E42),1,0)</f>
        <v/>
      </c>
      <c r="N37" s="5">
        <f>IF(AND(D43&lt;&gt;"",E43&lt;&gt;"",D43&lt;E43),1,0)+IF(AND(D45&lt;&gt;"",E45&lt;&gt;"",D45&lt;E45),1,0)+IF(AND(D42&lt;&gt;"",E42&lt;&gt;"",E42&lt;D42),1,0)</f>
        <v/>
      </c>
      <c r="O37" s="5">
        <f>IF(AND(D43&lt;&gt;"",E43&lt;&gt;""),D43,0)+IF(AND(D45&lt;&gt;"",E45&lt;&gt;""),D45,0)+IF(AND(D42&lt;&gt;"",E42&lt;&gt;""),E42,0)</f>
        <v/>
      </c>
      <c r="P37" s="5">
        <f>IF(AND(D43&lt;&gt;"",E43&lt;&gt;""),E43,0)+IF(AND(D45&lt;&gt;"",E45&lt;&gt;""),E45,0)+IF(AND(D42&lt;&gt;"",E42&lt;&gt;""),D42,0)</f>
        <v/>
      </c>
      <c r="Q37" s="5">
        <f>O37-P37</f>
        <v/>
      </c>
      <c r="R37" s="5">
        <f>3*L37+M37</f>
        <v/>
      </c>
      <c r="S37">
        <f>R37*10000000+(Q37+99)*100000+O37*100+2</f>
        <v/>
      </c>
    </row>
    <row r="38" ht="17" customHeight="1">
      <c r="I38" s="3" t="inlineStr"/>
      <c r="J38" s="4" t="inlineStr">
        <is>
          <t>Haiti</t>
        </is>
      </c>
      <c r="K38" s="5">
        <f>IF(AND(D42&lt;&gt;"",E42&lt;&gt;""),1,0)+IF(AND(D44&lt;&gt;"",E44&lt;&gt;""),1,0)+IF(AND(D46&lt;&gt;"",E46&lt;&gt;""),1,0)</f>
        <v/>
      </c>
      <c r="L38" s="5">
        <f>IF(AND(D42&lt;&gt;"",E42&lt;&gt;"",D42&gt;E42),1,0)+IF(AND(D44&lt;&gt;"",E44&lt;&gt;"",E44&gt;D44),1,0)+IF(AND(D46&lt;&gt;"",E46&lt;&gt;"",E46&gt;D46),1,0)</f>
        <v/>
      </c>
      <c r="M38" s="5">
        <f>IF(AND(D42&lt;&gt;"",E42&lt;&gt;"",D42=E42),1,0)+IF(AND(D44&lt;&gt;"",E44&lt;&gt;"",D44=E44),1,0)+IF(AND(D46&lt;&gt;"",E46&lt;&gt;"",D46=E46),1,0)</f>
        <v/>
      </c>
      <c r="N38" s="5">
        <f>IF(AND(D42&lt;&gt;"",E42&lt;&gt;"",D42&lt;E42),1,0)+IF(AND(D44&lt;&gt;"",E44&lt;&gt;"",E44&lt;D44),1,0)+IF(AND(D46&lt;&gt;"",E46&lt;&gt;"",E46&lt;D46),1,0)</f>
        <v/>
      </c>
      <c r="O38" s="5">
        <f>IF(AND(D42&lt;&gt;"",E42&lt;&gt;""),D42,0)+IF(AND(D44&lt;&gt;"",E44&lt;&gt;""),E44,0)+IF(AND(D46&lt;&gt;"",E46&lt;&gt;""),E46,0)</f>
        <v/>
      </c>
      <c r="P38" s="5">
        <f>IF(AND(D42&lt;&gt;"",E42&lt;&gt;""),E42,0)+IF(AND(D44&lt;&gt;"",E44&lt;&gt;""),D44,0)+IF(AND(D46&lt;&gt;"",E46&lt;&gt;""),D46,0)</f>
        <v/>
      </c>
      <c r="Q38" s="5">
        <f>O38-P38</f>
        <v/>
      </c>
      <c r="R38" s="5">
        <f>3*L38+M38</f>
        <v/>
      </c>
      <c r="S38">
        <f>R38*10000000+(Q38+99)*100000+O38*100+1</f>
        <v/>
      </c>
    </row>
    <row r="40" ht="16" customHeight="1">
      <c r="A40" s="6" t="inlineStr">
        <is>
          <t>MD</t>
        </is>
      </c>
      <c r="B40" s="6" t="inlineStr">
        <is>
          <t>Date / Time (ET)</t>
        </is>
      </c>
      <c r="C40" s="6" t="inlineStr">
        <is>
          <t>Home Team</t>
        </is>
      </c>
      <c r="D40" s="6" t="inlineStr">
        <is>
          <t>G</t>
        </is>
      </c>
      <c r="E40" s="6" t="inlineStr">
        <is>
          <t>G</t>
        </is>
      </c>
      <c r="F40" s="6" t="inlineStr">
        <is>
          <t>Away Team</t>
        </is>
      </c>
      <c r="G40" s="6" t="inlineStr">
        <is>
          <t>Venue</t>
        </is>
      </c>
    </row>
    <row r="41" ht="20" customHeight="1">
      <c r="A41" s="7" t="n">
        <v>1</v>
      </c>
      <c r="B41" s="8" t="inlineStr">
        <is>
          <t>Jun 13 · 6 pm ET</t>
        </is>
      </c>
      <c r="C41" s="9" t="inlineStr">
        <is>
          <t>Brazil</t>
        </is>
      </c>
      <c r="D41" s="10" t="n"/>
      <c r="E41" s="10" t="n"/>
      <c r="F41" s="9" t="inlineStr">
        <is>
          <t>Morocco</t>
        </is>
      </c>
      <c r="G41" s="11" t="inlineStr">
        <is>
          <t>New York/NJ</t>
        </is>
      </c>
    </row>
    <row r="42" ht="20" customHeight="1">
      <c r="A42" s="7" t="n">
        <v>1</v>
      </c>
      <c r="B42" s="8" t="inlineStr">
        <is>
          <t>Jun 13 · 9 pm ET</t>
        </is>
      </c>
      <c r="C42" s="9" t="inlineStr">
        <is>
          <t>Haiti</t>
        </is>
      </c>
      <c r="D42" s="10" t="n"/>
      <c r="E42" s="10" t="n"/>
      <c r="F42" s="9" t="inlineStr">
        <is>
          <t>Scotland</t>
        </is>
      </c>
      <c r="G42" s="11" t="inlineStr">
        <is>
          <t>Boston</t>
        </is>
      </c>
    </row>
    <row r="43" ht="20" customHeight="1">
      <c r="A43" s="7" t="n">
        <v>2</v>
      </c>
      <c r="B43" s="8" t="inlineStr">
        <is>
          <t>Jun 19 · 3 pm ET</t>
        </is>
      </c>
      <c r="C43" s="9" t="inlineStr">
        <is>
          <t>Scotland</t>
        </is>
      </c>
      <c r="D43" s="10" t="n"/>
      <c r="E43" s="10" t="n"/>
      <c r="F43" s="9" t="inlineStr">
        <is>
          <t>Morocco</t>
        </is>
      </c>
      <c r="G43" s="11" t="inlineStr">
        <is>
          <t>Boston</t>
        </is>
      </c>
    </row>
    <row r="44" ht="20" customHeight="1">
      <c r="A44" s="7" t="n">
        <v>2</v>
      </c>
      <c r="B44" s="8" t="inlineStr">
        <is>
          <t>Jun 19 · 9 pm ET</t>
        </is>
      </c>
      <c r="C44" s="9" t="inlineStr">
        <is>
          <t>Brazil</t>
        </is>
      </c>
      <c r="D44" s="10" t="n"/>
      <c r="E44" s="10" t="n"/>
      <c r="F44" s="9" t="inlineStr">
        <is>
          <t>Haiti</t>
        </is>
      </c>
      <c r="G44" s="11" t="inlineStr">
        <is>
          <t>Philadelphia</t>
        </is>
      </c>
    </row>
    <row r="45" ht="20" customHeight="1">
      <c r="A45" s="7" t="n">
        <v>3</v>
      </c>
      <c r="B45" s="8" t="inlineStr">
        <is>
          <t>Jun 24 · 6 pm ET</t>
        </is>
      </c>
      <c r="C45" s="9" t="inlineStr">
        <is>
          <t>Scotland</t>
        </is>
      </c>
      <c r="D45" s="10" t="n"/>
      <c r="E45" s="10" t="n"/>
      <c r="F45" s="9" t="inlineStr">
        <is>
          <t>Brazil</t>
        </is>
      </c>
      <c r="G45" s="11" t="inlineStr">
        <is>
          <t>Miami</t>
        </is>
      </c>
    </row>
    <row r="46" ht="20" customHeight="1">
      <c r="A46" s="7" t="n">
        <v>3</v>
      </c>
      <c r="B46" s="8" t="inlineStr">
        <is>
          <t>Jun 24 · 6 pm ET</t>
        </is>
      </c>
      <c r="C46" s="9" t="inlineStr">
        <is>
          <t>Morocco</t>
        </is>
      </c>
      <c r="D46" s="10" t="n"/>
      <c r="E46" s="10" t="n"/>
      <c r="F46" s="9" t="inlineStr">
        <is>
          <t>Haiti</t>
        </is>
      </c>
      <c r="G46" s="11" t="inlineStr">
        <is>
          <t>Atlanta</t>
        </is>
      </c>
    </row>
    <row r="49" ht="24" customHeight="1">
      <c r="A49" s="12" t="inlineStr">
        <is>
          <t xml:space="preserve">  GROUP D</t>
        </is>
      </c>
    </row>
    <row r="50" ht="16" customHeight="1">
      <c r="I50" s="2" t="inlineStr">
        <is>
          <t>#</t>
        </is>
      </c>
      <c r="J50" s="2" t="inlineStr">
        <is>
          <t>Team</t>
        </is>
      </c>
      <c r="K50" s="2" t="inlineStr">
        <is>
          <t>GP</t>
        </is>
      </c>
      <c r="L50" s="2" t="inlineStr">
        <is>
          <t>W</t>
        </is>
      </c>
      <c r="M50" s="2" t="inlineStr">
        <is>
          <t>D</t>
        </is>
      </c>
      <c r="N50" s="2" t="inlineStr">
        <is>
          <t>L</t>
        </is>
      </c>
      <c r="O50" s="2" t="inlineStr">
        <is>
          <t>GF</t>
        </is>
      </c>
      <c r="P50" s="2" t="inlineStr">
        <is>
          <t>GA</t>
        </is>
      </c>
      <c r="Q50" s="2" t="inlineStr">
        <is>
          <t>GD</t>
        </is>
      </c>
      <c r="R50" s="2" t="inlineStr">
        <is>
          <t>Pts</t>
        </is>
      </c>
    </row>
    <row r="51" ht="17" customHeight="1">
      <c r="I51" s="3" t="inlineStr"/>
      <c r="J51" s="4" t="inlineStr">
        <is>
          <t>USA</t>
        </is>
      </c>
      <c r="K51" s="5">
        <f>IF(AND(D57&lt;&gt;"",E57&lt;&gt;""),1,0)+IF(AND(D59&lt;&gt;"",E59&lt;&gt;""),1,0)+IF(AND(D61&lt;&gt;"",E61&lt;&gt;""),1,0)</f>
        <v/>
      </c>
      <c r="L51" s="5">
        <f>IF(AND(D57&lt;&gt;"",E57&lt;&gt;"",D57&gt;E57),1,0)+IF(AND(D59&lt;&gt;"",E59&lt;&gt;"",D59&gt;E59),1,0)+IF(AND(D61&lt;&gt;"",E61&lt;&gt;"",E61&gt;D61),1,0)</f>
        <v/>
      </c>
      <c r="M51" s="5">
        <f>IF(AND(D57&lt;&gt;"",E57&lt;&gt;"",D57=E57),1,0)+IF(AND(D59&lt;&gt;"",E59&lt;&gt;"",D59=E59),1,0)+IF(AND(D61&lt;&gt;"",E61&lt;&gt;"",D61=E61),1,0)</f>
        <v/>
      </c>
      <c r="N51" s="5">
        <f>IF(AND(D57&lt;&gt;"",E57&lt;&gt;"",D57&lt;E57),1,0)+IF(AND(D59&lt;&gt;"",E59&lt;&gt;"",D59&lt;E59),1,0)+IF(AND(D61&lt;&gt;"",E61&lt;&gt;"",E61&lt;D61),1,0)</f>
        <v/>
      </c>
      <c r="O51" s="5">
        <f>IF(AND(D57&lt;&gt;"",E57&lt;&gt;""),D57,0)+IF(AND(D59&lt;&gt;"",E59&lt;&gt;""),D59,0)+IF(AND(D61&lt;&gt;"",E61&lt;&gt;""),E61,0)</f>
        <v/>
      </c>
      <c r="P51" s="5">
        <f>IF(AND(D57&lt;&gt;"",E57&lt;&gt;""),E57,0)+IF(AND(D59&lt;&gt;"",E59&lt;&gt;""),E59,0)+IF(AND(D61&lt;&gt;"",E61&lt;&gt;""),D61,0)</f>
        <v/>
      </c>
      <c r="Q51" s="5">
        <f>O51-P51</f>
        <v/>
      </c>
      <c r="R51" s="5">
        <f>3*L51+M51</f>
        <v/>
      </c>
      <c r="S51">
        <f>R51*10000000+(Q51+99)*100000+O51*100+4</f>
        <v/>
      </c>
    </row>
    <row r="52" ht="17" customHeight="1">
      <c r="I52" s="3" t="inlineStr"/>
      <c r="J52" s="4" t="inlineStr">
        <is>
          <t>Australia</t>
        </is>
      </c>
      <c r="K52" s="5">
        <f>IF(AND(D58&lt;&gt;"",E58&lt;&gt;""),1,0)+IF(AND(D59&lt;&gt;"",E59&lt;&gt;""),1,0)+IF(AND(D62&lt;&gt;"",E62&lt;&gt;""),1,0)</f>
        <v/>
      </c>
      <c r="L52" s="5">
        <f>IF(AND(D58&lt;&gt;"",E58&lt;&gt;"",D58&gt;E58),1,0)+IF(AND(D59&lt;&gt;"",E59&lt;&gt;"",E59&gt;D59),1,0)+IF(AND(D62&lt;&gt;"",E62&lt;&gt;"",E62&gt;D62),1,0)</f>
        <v/>
      </c>
      <c r="M52" s="5">
        <f>IF(AND(D58&lt;&gt;"",E58&lt;&gt;"",D58=E58),1,0)+IF(AND(D59&lt;&gt;"",E59&lt;&gt;"",D59=E59),1,0)+IF(AND(D62&lt;&gt;"",E62&lt;&gt;"",D62=E62),1,0)</f>
        <v/>
      </c>
      <c r="N52" s="5">
        <f>IF(AND(D58&lt;&gt;"",E58&lt;&gt;"",D58&lt;E58),1,0)+IF(AND(D59&lt;&gt;"",E59&lt;&gt;"",E59&lt;D59),1,0)+IF(AND(D62&lt;&gt;"",E62&lt;&gt;"",E62&lt;D62),1,0)</f>
        <v/>
      </c>
      <c r="O52" s="5">
        <f>IF(AND(D58&lt;&gt;"",E58&lt;&gt;""),D58,0)+IF(AND(D59&lt;&gt;"",E59&lt;&gt;""),E59,0)+IF(AND(D62&lt;&gt;"",E62&lt;&gt;""),E62,0)</f>
        <v/>
      </c>
      <c r="P52" s="5">
        <f>IF(AND(D58&lt;&gt;"",E58&lt;&gt;""),E58,0)+IF(AND(D59&lt;&gt;"",E59&lt;&gt;""),D59,0)+IF(AND(D62&lt;&gt;"",E62&lt;&gt;""),D62,0)</f>
        <v/>
      </c>
      <c r="Q52" s="5">
        <f>O52-P52</f>
        <v/>
      </c>
      <c r="R52" s="5">
        <f>3*L52+M52</f>
        <v/>
      </c>
      <c r="S52">
        <f>R52*10000000+(Q52+99)*100000+O52*100+3</f>
        <v/>
      </c>
    </row>
    <row r="53" ht="17" customHeight="1">
      <c r="I53" s="3" t="inlineStr"/>
      <c r="J53" s="4" t="inlineStr">
        <is>
          <t>Paraguay</t>
        </is>
      </c>
      <c r="K53" s="5">
        <f>IF(AND(D62&lt;&gt;"",E62&lt;&gt;""),1,0)+IF(AND(D57&lt;&gt;"",E57&lt;&gt;""),1,0)+IF(AND(D60&lt;&gt;"",E60&lt;&gt;""),1,0)</f>
        <v/>
      </c>
      <c r="L53" s="5">
        <f>IF(AND(D62&lt;&gt;"",E62&lt;&gt;"",D62&gt;E62),1,0)+IF(AND(D57&lt;&gt;"",E57&lt;&gt;"",E57&gt;D57),1,0)+IF(AND(D60&lt;&gt;"",E60&lt;&gt;"",E60&gt;D60),1,0)</f>
        <v/>
      </c>
      <c r="M53" s="5">
        <f>IF(AND(D62&lt;&gt;"",E62&lt;&gt;"",D62=E62),1,0)+IF(AND(D57&lt;&gt;"",E57&lt;&gt;"",D57=E57),1,0)+IF(AND(D60&lt;&gt;"",E60&lt;&gt;"",D60=E60),1,0)</f>
        <v/>
      </c>
      <c r="N53" s="5">
        <f>IF(AND(D62&lt;&gt;"",E62&lt;&gt;"",D62&lt;E62),1,0)+IF(AND(D57&lt;&gt;"",E57&lt;&gt;"",E57&lt;D57),1,0)+IF(AND(D60&lt;&gt;"",E60&lt;&gt;"",E60&lt;D60),1,0)</f>
        <v/>
      </c>
      <c r="O53" s="5">
        <f>IF(AND(D62&lt;&gt;"",E62&lt;&gt;""),D62,0)+IF(AND(D57&lt;&gt;"",E57&lt;&gt;""),E57,0)+IF(AND(D60&lt;&gt;"",E60&lt;&gt;""),E60,0)</f>
        <v/>
      </c>
      <c r="P53" s="5">
        <f>IF(AND(D62&lt;&gt;"",E62&lt;&gt;""),E62,0)+IF(AND(D57&lt;&gt;"",E57&lt;&gt;""),D57,0)+IF(AND(D60&lt;&gt;"",E60&lt;&gt;""),D60,0)</f>
        <v/>
      </c>
      <c r="Q53" s="5">
        <f>O53-P53</f>
        <v/>
      </c>
      <c r="R53" s="5">
        <f>3*L53+M53</f>
        <v/>
      </c>
      <c r="S53">
        <f>R53*10000000+(Q53+99)*100000+O53*100+2</f>
        <v/>
      </c>
    </row>
    <row r="54" ht="17" customHeight="1">
      <c r="I54" s="3" t="inlineStr"/>
      <c r="J54" s="4" t="inlineStr">
        <is>
          <t>Turkey</t>
        </is>
      </c>
      <c r="K54" s="5">
        <f>IF(AND(D60&lt;&gt;"",E60&lt;&gt;""),1,0)+IF(AND(D61&lt;&gt;"",E61&lt;&gt;""),1,0)+IF(AND(D58&lt;&gt;"",E58&lt;&gt;""),1,0)</f>
        <v/>
      </c>
      <c r="L54" s="5">
        <f>IF(AND(D60&lt;&gt;"",E60&lt;&gt;"",D60&gt;E60),1,0)+IF(AND(D61&lt;&gt;"",E61&lt;&gt;"",D61&gt;E61),1,0)+IF(AND(D58&lt;&gt;"",E58&lt;&gt;"",E58&gt;D58),1,0)</f>
        <v/>
      </c>
      <c r="M54" s="5">
        <f>IF(AND(D60&lt;&gt;"",E60&lt;&gt;"",D60=E60),1,0)+IF(AND(D61&lt;&gt;"",E61&lt;&gt;"",D61=E61),1,0)+IF(AND(D58&lt;&gt;"",E58&lt;&gt;"",D58=E58),1,0)</f>
        <v/>
      </c>
      <c r="N54" s="5">
        <f>IF(AND(D60&lt;&gt;"",E60&lt;&gt;"",D60&lt;E60),1,0)+IF(AND(D61&lt;&gt;"",E61&lt;&gt;"",D61&lt;E61),1,0)+IF(AND(D58&lt;&gt;"",E58&lt;&gt;"",E58&lt;D58),1,0)</f>
        <v/>
      </c>
      <c r="O54" s="5">
        <f>IF(AND(D60&lt;&gt;"",E60&lt;&gt;""),D60,0)+IF(AND(D61&lt;&gt;"",E61&lt;&gt;""),D61,0)+IF(AND(D58&lt;&gt;"",E58&lt;&gt;""),E58,0)</f>
        <v/>
      </c>
      <c r="P54" s="5">
        <f>IF(AND(D60&lt;&gt;"",E60&lt;&gt;""),E60,0)+IF(AND(D61&lt;&gt;"",E61&lt;&gt;""),E61,0)+IF(AND(D58&lt;&gt;"",E58&lt;&gt;""),D58,0)</f>
        <v/>
      </c>
      <c r="Q54" s="5">
        <f>O54-P54</f>
        <v/>
      </c>
      <c r="R54" s="5">
        <f>3*L54+M54</f>
        <v/>
      </c>
      <c r="S54">
        <f>R54*10000000+(Q54+99)*100000+O54*100+1</f>
        <v/>
      </c>
    </row>
    <row r="56" ht="16" customHeight="1">
      <c r="A56" s="6" t="inlineStr">
        <is>
          <t>MD</t>
        </is>
      </c>
      <c r="B56" s="6" t="inlineStr">
        <is>
          <t>Date / Time (ET)</t>
        </is>
      </c>
      <c r="C56" s="6" t="inlineStr">
        <is>
          <t>Home Team</t>
        </is>
      </c>
      <c r="D56" s="6" t="inlineStr">
        <is>
          <t>G</t>
        </is>
      </c>
      <c r="E56" s="6" t="inlineStr">
        <is>
          <t>G</t>
        </is>
      </c>
      <c r="F56" s="6" t="inlineStr">
        <is>
          <t>Away Team</t>
        </is>
      </c>
      <c r="G56" s="6" t="inlineStr">
        <is>
          <t>Venue</t>
        </is>
      </c>
    </row>
    <row r="57" ht="20" customHeight="1">
      <c r="A57" s="7" t="n">
        <v>1</v>
      </c>
      <c r="B57" s="8" t="inlineStr">
        <is>
          <t>Jun 12 · 9 pm ET</t>
        </is>
      </c>
      <c r="C57" s="9" t="inlineStr">
        <is>
          <t>USA</t>
        </is>
      </c>
      <c r="D57" s="10" t="n"/>
      <c r="E57" s="10" t="n"/>
      <c r="F57" s="9" t="inlineStr">
        <is>
          <t>Paraguay</t>
        </is>
      </c>
      <c r="G57" s="11" t="inlineStr">
        <is>
          <t>Los Angeles</t>
        </is>
      </c>
    </row>
    <row r="58" ht="20" customHeight="1">
      <c r="A58" s="7" t="n">
        <v>1</v>
      </c>
      <c r="B58" s="8" t="inlineStr">
        <is>
          <t>Jun 13 · 12 am ET</t>
        </is>
      </c>
      <c r="C58" s="9" t="inlineStr">
        <is>
          <t>Australia</t>
        </is>
      </c>
      <c r="D58" s="10" t="n"/>
      <c r="E58" s="10" t="n"/>
      <c r="F58" s="9" t="inlineStr">
        <is>
          <t>Turkey</t>
        </is>
      </c>
      <c r="G58" s="11" t="inlineStr">
        <is>
          <t>Vancouver</t>
        </is>
      </c>
    </row>
    <row r="59" ht="20" customHeight="1">
      <c r="A59" s="7" t="n">
        <v>2</v>
      </c>
      <c r="B59" s="8" t="inlineStr">
        <is>
          <t>Jun 19 · 3 pm ET</t>
        </is>
      </c>
      <c r="C59" s="9" t="inlineStr">
        <is>
          <t>USA</t>
        </is>
      </c>
      <c r="D59" s="10" t="n"/>
      <c r="E59" s="10" t="n"/>
      <c r="F59" s="9" t="inlineStr">
        <is>
          <t>Australia</t>
        </is>
      </c>
      <c r="G59" s="11" t="inlineStr">
        <is>
          <t>Seattle</t>
        </is>
      </c>
    </row>
    <row r="60" ht="20" customHeight="1">
      <c r="A60" s="7" t="n">
        <v>2</v>
      </c>
      <c r="B60" s="8" t="inlineStr">
        <is>
          <t>Jun 19 · 12 am ET</t>
        </is>
      </c>
      <c r="C60" s="9" t="inlineStr">
        <is>
          <t>Turkey</t>
        </is>
      </c>
      <c r="D60" s="10" t="n"/>
      <c r="E60" s="10" t="n"/>
      <c r="F60" s="9" t="inlineStr">
        <is>
          <t>Paraguay</t>
        </is>
      </c>
      <c r="G60" s="11" t="inlineStr">
        <is>
          <t>San Francisco</t>
        </is>
      </c>
    </row>
    <row r="61" ht="20" customHeight="1">
      <c r="A61" s="7" t="n">
        <v>3</v>
      </c>
      <c r="B61" s="8" t="inlineStr">
        <is>
          <t>Jun 25 · 10 pm ET</t>
        </is>
      </c>
      <c r="C61" s="9" t="inlineStr">
        <is>
          <t>Turkey</t>
        </is>
      </c>
      <c r="D61" s="10" t="n"/>
      <c r="E61" s="10" t="n"/>
      <c r="F61" s="9" t="inlineStr">
        <is>
          <t>USA</t>
        </is>
      </c>
      <c r="G61" s="11" t="inlineStr">
        <is>
          <t>Los Angeles</t>
        </is>
      </c>
    </row>
    <row r="62" ht="20" customHeight="1">
      <c r="A62" s="7" t="n">
        <v>3</v>
      </c>
      <c r="B62" s="8" t="inlineStr">
        <is>
          <t>Jun 25 · 10 pm ET</t>
        </is>
      </c>
      <c r="C62" s="9" t="inlineStr">
        <is>
          <t>Paraguay</t>
        </is>
      </c>
      <c r="D62" s="10" t="n"/>
      <c r="E62" s="10" t="n"/>
      <c r="F62" s="9" t="inlineStr">
        <is>
          <t>Australia</t>
        </is>
      </c>
      <c r="G62" s="11" t="inlineStr">
        <is>
          <t>San Francisco</t>
        </is>
      </c>
    </row>
    <row r="65" ht="24" customHeight="1">
      <c r="A65" s="12" t="inlineStr">
        <is>
          <t xml:space="preserve">  GROUP E</t>
        </is>
      </c>
    </row>
    <row r="66" ht="16" customHeight="1">
      <c r="I66" s="2" t="inlineStr">
        <is>
          <t>#</t>
        </is>
      </c>
      <c r="J66" s="2" t="inlineStr">
        <is>
          <t>Team</t>
        </is>
      </c>
      <c r="K66" s="2" t="inlineStr">
        <is>
          <t>GP</t>
        </is>
      </c>
      <c r="L66" s="2" t="inlineStr">
        <is>
          <t>W</t>
        </is>
      </c>
      <c r="M66" s="2" t="inlineStr">
        <is>
          <t>D</t>
        </is>
      </c>
      <c r="N66" s="2" t="inlineStr">
        <is>
          <t>L</t>
        </is>
      </c>
      <c r="O66" s="2" t="inlineStr">
        <is>
          <t>GF</t>
        </is>
      </c>
      <c r="P66" s="2" t="inlineStr">
        <is>
          <t>GA</t>
        </is>
      </c>
      <c r="Q66" s="2" t="inlineStr">
        <is>
          <t>GD</t>
        </is>
      </c>
      <c r="R66" s="2" t="inlineStr">
        <is>
          <t>Pts</t>
        </is>
      </c>
    </row>
    <row r="67" ht="17" customHeight="1">
      <c r="I67" s="3" t="inlineStr"/>
      <c r="J67" s="4" t="inlineStr">
        <is>
          <t>Germany</t>
        </is>
      </c>
      <c r="K67" s="5">
        <f>IF(AND(D73&lt;&gt;"",E73&lt;&gt;""),1,0)+IF(AND(D75&lt;&gt;"",E75&lt;&gt;""),1,0)+IF(AND(D77&lt;&gt;"",E77&lt;&gt;""),1,0)</f>
        <v/>
      </c>
      <c r="L67" s="5">
        <f>IF(AND(D73&lt;&gt;"",E73&lt;&gt;"",D73&gt;E73),1,0)+IF(AND(D75&lt;&gt;"",E75&lt;&gt;"",D75&gt;E75),1,0)+IF(AND(D77&lt;&gt;"",E77&lt;&gt;"",E77&gt;D77),1,0)</f>
        <v/>
      </c>
      <c r="M67" s="5">
        <f>IF(AND(D73&lt;&gt;"",E73&lt;&gt;"",D73=E73),1,0)+IF(AND(D75&lt;&gt;"",E75&lt;&gt;"",D75=E75),1,0)+IF(AND(D77&lt;&gt;"",E77&lt;&gt;"",D77=E77),1,0)</f>
        <v/>
      </c>
      <c r="N67" s="5">
        <f>IF(AND(D73&lt;&gt;"",E73&lt;&gt;"",D73&lt;E73),1,0)+IF(AND(D75&lt;&gt;"",E75&lt;&gt;"",D75&lt;E75),1,0)+IF(AND(D77&lt;&gt;"",E77&lt;&gt;"",E77&lt;D77),1,0)</f>
        <v/>
      </c>
      <c r="O67" s="5">
        <f>IF(AND(D73&lt;&gt;"",E73&lt;&gt;""),D73,0)+IF(AND(D75&lt;&gt;"",E75&lt;&gt;""),D75,0)+IF(AND(D77&lt;&gt;"",E77&lt;&gt;""),E77,0)</f>
        <v/>
      </c>
      <c r="P67" s="5">
        <f>IF(AND(D73&lt;&gt;"",E73&lt;&gt;""),E73,0)+IF(AND(D75&lt;&gt;"",E75&lt;&gt;""),E75,0)+IF(AND(D77&lt;&gt;"",E77&lt;&gt;""),D77,0)</f>
        <v/>
      </c>
      <c r="Q67" s="5">
        <f>O67-P67</f>
        <v/>
      </c>
      <c r="R67" s="5">
        <f>3*L67+M67</f>
        <v/>
      </c>
      <c r="S67">
        <f>R67*10000000+(Q67+99)*100000+O67*100+4</f>
        <v/>
      </c>
    </row>
    <row r="68" ht="17" customHeight="1">
      <c r="I68" s="3" t="inlineStr"/>
      <c r="J68" s="4" t="inlineStr">
        <is>
          <t>Ecuador</t>
        </is>
      </c>
      <c r="K68" s="5">
        <f>IF(AND(D76&lt;&gt;"",E76&lt;&gt;""),1,0)+IF(AND(D77&lt;&gt;"",E77&lt;&gt;""),1,0)+IF(AND(D74&lt;&gt;"",E74&lt;&gt;""),1,0)</f>
        <v/>
      </c>
      <c r="L68" s="5">
        <f>IF(AND(D76&lt;&gt;"",E76&lt;&gt;"",D76&gt;E76),1,0)+IF(AND(D77&lt;&gt;"",E77&lt;&gt;"",D77&gt;E77),1,0)+IF(AND(D74&lt;&gt;"",E74&lt;&gt;"",E74&gt;D74),1,0)</f>
        <v/>
      </c>
      <c r="M68" s="5">
        <f>IF(AND(D76&lt;&gt;"",E76&lt;&gt;"",D76=E76),1,0)+IF(AND(D77&lt;&gt;"",E77&lt;&gt;"",D77=E77),1,0)+IF(AND(D74&lt;&gt;"",E74&lt;&gt;"",D74=E74),1,0)</f>
        <v/>
      </c>
      <c r="N68" s="5">
        <f>IF(AND(D76&lt;&gt;"",E76&lt;&gt;"",D76&lt;E76),1,0)+IF(AND(D77&lt;&gt;"",E77&lt;&gt;"",D77&lt;E77),1,0)+IF(AND(D74&lt;&gt;"",E74&lt;&gt;"",E74&lt;D74),1,0)</f>
        <v/>
      </c>
      <c r="O68" s="5">
        <f>IF(AND(D76&lt;&gt;"",E76&lt;&gt;""),D76,0)+IF(AND(D77&lt;&gt;"",E77&lt;&gt;""),D77,0)+IF(AND(D74&lt;&gt;"",E74&lt;&gt;""),E74,0)</f>
        <v/>
      </c>
      <c r="P68" s="5">
        <f>IF(AND(D76&lt;&gt;"",E76&lt;&gt;""),E76,0)+IF(AND(D77&lt;&gt;"",E77&lt;&gt;""),E77,0)+IF(AND(D74&lt;&gt;"",E74&lt;&gt;""),D74,0)</f>
        <v/>
      </c>
      <c r="Q68" s="5">
        <f>O68-P68</f>
        <v/>
      </c>
      <c r="R68" s="5">
        <f>3*L68+M68</f>
        <v/>
      </c>
      <c r="S68">
        <f>R68*10000000+(Q68+99)*100000+O68*100+3</f>
        <v/>
      </c>
    </row>
    <row r="69" ht="17" customHeight="1">
      <c r="I69" s="3" t="inlineStr"/>
      <c r="J69" s="4" t="inlineStr">
        <is>
          <t>Ivory Coast</t>
        </is>
      </c>
      <c r="K69" s="5">
        <f>IF(AND(D74&lt;&gt;"",E74&lt;&gt;""),1,0)+IF(AND(D75&lt;&gt;"",E75&lt;&gt;""),1,0)+IF(AND(D78&lt;&gt;"",E78&lt;&gt;""),1,0)</f>
        <v/>
      </c>
      <c r="L69" s="5">
        <f>IF(AND(D74&lt;&gt;"",E74&lt;&gt;"",D74&gt;E74),1,0)+IF(AND(D75&lt;&gt;"",E75&lt;&gt;"",E75&gt;D75),1,0)+IF(AND(D78&lt;&gt;"",E78&lt;&gt;"",E78&gt;D78),1,0)</f>
        <v/>
      </c>
      <c r="M69" s="5">
        <f>IF(AND(D74&lt;&gt;"",E74&lt;&gt;"",D74=E74),1,0)+IF(AND(D75&lt;&gt;"",E75&lt;&gt;"",D75=E75),1,0)+IF(AND(D78&lt;&gt;"",E78&lt;&gt;"",D78=E78),1,0)</f>
        <v/>
      </c>
      <c r="N69" s="5">
        <f>IF(AND(D74&lt;&gt;"",E74&lt;&gt;"",D74&lt;E74),1,0)+IF(AND(D75&lt;&gt;"",E75&lt;&gt;"",E75&lt;D75),1,0)+IF(AND(D78&lt;&gt;"",E78&lt;&gt;"",E78&lt;D78),1,0)</f>
        <v/>
      </c>
      <c r="O69" s="5">
        <f>IF(AND(D74&lt;&gt;"",E74&lt;&gt;""),D74,0)+IF(AND(D75&lt;&gt;"",E75&lt;&gt;""),E75,0)+IF(AND(D78&lt;&gt;"",E78&lt;&gt;""),E78,0)</f>
        <v/>
      </c>
      <c r="P69" s="5">
        <f>IF(AND(D74&lt;&gt;"",E74&lt;&gt;""),E74,0)+IF(AND(D75&lt;&gt;"",E75&lt;&gt;""),D75,0)+IF(AND(D78&lt;&gt;"",E78&lt;&gt;""),D78,0)</f>
        <v/>
      </c>
      <c r="Q69" s="5">
        <f>O69-P69</f>
        <v/>
      </c>
      <c r="R69" s="5">
        <f>3*L69+M69</f>
        <v/>
      </c>
      <c r="S69">
        <f>R69*10000000+(Q69+99)*100000+O69*100+2</f>
        <v/>
      </c>
    </row>
    <row r="70" ht="17" customHeight="1">
      <c r="I70" s="3" t="inlineStr"/>
      <c r="J70" s="4" t="inlineStr">
        <is>
          <t>Curaçao</t>
        </is>
      </c>
      <c r="K70" s="5">
        <f>IF(AND(D78&lt;&gt;"",E78&lt;&gt;""),1,0)+IF(AND(D73&lt;&gt;"",E73&lt;&gt;""),1,0)+IF(AND(D76&lt;&gt;"",E76&lt;&gt;""),1,0)</f>
        <v/>
      </c>
      <c r="L70" s="5">
        <f>IF(AND(D78&lt;&gt;"",E78&lt;&gt;"",D78&gt;E78),1,0)+IF(AND(D73&lt;&gt;"",E73&lt;&gt;"",E73&gt;D73),1,0)+IF(AND(D76&lt;&gt;"",E76&lt;&gt;"",E76&gt;D76),1,0)</f>
        <v/>
      </c>
      <c r="M70" s="5">
        <f>IF(AND(D78&lt;&gt;"",E78&lt;&gt;"",D78=E78),1,0)+IF(AND(D73&lt;&gt;"",E73&lt;&gt;"",D73=E73),1,0)+IF(AND(D76&lt;&gt;"",E76&lt;&gt;"",D76=E76),1,0)</f>
        <v/>
      </c>
      <c r="N70" s="5">
        <f>IF(AND(D78&lt;&gt;"",E78&lt;&gt;"",D78&lt;E78),1,0)+IF(AND(D73&lt;&gt;"",E73&lt;&gt;"",E73&lt;D73),1,0)+IF(AND(D76&lt;&gt;"",E76&lt;&gt;"",E76&lt;D76),1,0)</f>
        <v/>
      </c>
      <c r="O70" s="5">
        <f>IF(AND(D78&lt;&gt;"",E78&lt;&gt;""),D78,0)+IF(AND(D73&lt;&gt;"",E73&lt;&gt;""),E73,0)+IF(AND(D76&lt;&gt;"",E76&lt;&gt;""),E76,0)</f>
        <v/>
      </c>
      <c r="P70" s="5">
        <f>IF(AND(D78&lt;&gt;"",E78&lt;&gt;""),E78,0)+IF(AND(D73&lt;&gt;"",E73&lt;&gt;""),D73,0)+IF(AND(D76&lt;&gt;"",E76&lt;&gt;""),D76,0)</f>
        <v/>
      </c>
      <c r="Q70" s="5">
        <f>O70-P70</f>
        <v/>
      </c>
      <c r="R70" s="5">
        <f>3*L70+M70</f>
        <v/>
      </c>
      <c r="S70">
        <f>R70*10000000+(Q70+99)*100000+O70*100+1</f>
        <v/>
      </c>
    </row>
    <row r="72" ht="16" customHeight="1">
      <c r="A72" s="6" t="inlineStr">
        <is>
          <t>MD</t>
        </is>
      </c>
      <c r="B72" s="6" t="inlineStr">
        <is>
          <t>Date / Time (ET)</t>
        </is>
      </c>
      <c r="C72" s="6" t="inlineStr">
        <is>
          <t>Home Team</t>
        </is>
      </c>
      <c r="D72" s="6" t="inlineStr">
        <is>
          <t>G</t>
        </is>
      </c>
      <c r="E72" s="6" t="inlineStr">
        <is>
          <t>G</t>
        </is>
      </c>
      <c r="F72" s="6" t="inlineStr">
        <is>
          <t>Away Team</t>
        </is>
      </c>
      <c r="G72" s="6" t="inlineStr">
        <is>
          <t>Venue</t>
        </is>
      </c>
    </row>
    <row r="73" ht="20" customHeight="1">
      <c r="A73" s="7" t="n">
        <v>1</v>
      </c>
      <c r="B73" s="8" t="inlineStr">
        <is>
          <t>Jun 14 · 1 pm ET</t>
        </is>
      </c>
      <c r="C73" s="9" t="inlineStr">
        <is>
          <t>Germany</t>
        </is>
      </c>
      <c r="D73" s="10" t="n"/>
      <c r="E73" s="10" t="n"/>
      <c r="F73" s="9" t="inlineStr">
        <is>
          <t>Curaçao</t>
        </is>
      </c>
      <c r="G73" s="11" t="inlineStr">
        <is>
          <t>Houston</t>
        </is>
      </c>
    </row>
    <row r="74" ht="20" customHeight="1">
      <c r="A74" s="7" t="n">
        <v>1</v>
      </c>
      <c r="B74" s="8" t="inlineStr">
        <is>
          <t>Jun 14 · 7 pm ET</t>
        </is>
      </c>
      <c r="C74" s="9" t="inlineStr">
        <is>
          <t>Ivory Coast</t>
        </is>
      </c>
      <c r="D74" s="10" t="n"/>
      <c r="E74" s="10" t="n"/>
      <c r="F74" s="9" t="inlineStr">
        <is>
          <t>Ecuador</t>
        </is>
      </c>
      <c r="G74" s="11" t="inlineStr">
        <is>
          <t>Philadelphia</t>
        </is>
      </c>
    </row>
    <row r="75" ht="20" customHeight="1">
      <c r="A75" s="7" t="n">
        <v>2</v>
      </c>
      <c r="B75" s="8" t="inlineStr">
        <is>
          <t>Jun 20 · 4 pm ET</t>
        </is>
      </c>
      <c r="C75" s="9" t="inlineStr">
        <is>
          <t>Germany</t>
        </is>
      </c>
      <c r="D75" s="10" t="n"/>
      <c r="E75" s="10" t="n"/>
      <c r="F75" s="9" t="inlineStr">
        <is>
          <t>Ivory Coast</t>
        </is>
      </c>
      <c r="G75" s="11" t="inlineStr">
        <is>
          <t>Toronto</t>
        </is>
      </c>
    </row>
    <row r="76" ht="20" customHeight="1">
      <c r="A76" s="7" t="n">
        <v>2</v>
      </c>
      <c r="B76" s="8" t="inlineStr">
        <is>
          <t>Jun 20 · 8 pm ET</t>
        </is>
      </c>
      <c r="C76" s="9" t="inlineStr">
        <is>
          <t>Ecuador</t>
        </is>
      </c>
      <c r="D76" s="10" t="n"/>
      <c r="E76" s="10" t="n"/>
      <c r="F76" s="9" t="inlineStr">
        <is>
          <t>Curaçao</t>
        </is>
      </c>
      <c r="G76" s="11" t="inlineStr">
        <is>
          <t>Kansas City</t>
        </is>
      </c>
    </row>
    <row r="77" ht="20" customHeight="1">
      <c r="A77" s="7" t="n">
        <v>3</v>
      </c>
      <c r="B77" s="8" t="inlineStr">
        <is>
          <t>Jun 25 · 4 pm ET</t>
        </is>
      </c>
      <c r="C77" s="9" t="inlineStr">
        <is>
          <t>Ecuador</t>
        </is>
      </c>
      <c r="D77" s="10" t="n"/>
      <c r="E77" s="10" t="n"/>
      <c r="F77" s="9" t="inlineStr">
        <is>
          <t>Germany</t>
        </is>
      </c>
      <c r="G77" s="11" t="inlineStr">
        <is>
          <t>New York/NJ</t>
        </is>
      </c>
    </row>
    <row r="78" ht="20" customHeight="1">
      <c r="A78" s="7" t="n">
        <v>3</v>
      </c>
      <c r="B78" s="8" t="inlineStr">
        <is>
          <t>Jun 25 · 4 pm ET</t>
        </is>
      </c>
      <c r="C78" s="9" t="inlineStr">
        <is>
          <t>Curaçao</t>
        </is>
      </c>
      <c r="D78" s="10" t="n"/>
      <c r="E78" s="10" t="n"/>
      <c r="F78" s="9" t="inlineStr">
        <is>
          <t>Ivory Coast</t>
        </is>
      </c>
      <c r="G78" s="11" t="inlineStr">
        <is>
          <t>Philadelphia</t>
        </is>
      </c>
    </row>
    <row r="81" ht="24" customHeight="1">
      <c r="A81" s="12" t="inlineStr">
        <is>
          <t xml:space="preserve">  GROUP F</t>
        </is>
      </c>
    </row>
    <row r="82" ht="16" customHeight="1">
      <c r="I82" s="2" t="inlineStr">
        <is>
          <t>#</t>
        </is>
      </c>
      <c r="J82" s="2" t="inlineStr">
        <is>
          <t>Team</t>
        </is>
      </c>
      <c r="K82" s="2" t="inlineStr">
        <is>
          <t>GP</t>
        </is>
      </c>
      <c r="L82" s="2" t="inlineStr">
        <is>
          <t>W</t>
        </is>
      </c>
      <c r="M82" s="2" t="inlineStr">
        <is>
          <t>D</t>
        </is>
      </c>
      <c r="N82" s="2" t="inlineStr">
        <is>
          <t>L</t>
        </is>
      </c>
      <c r="O82" s="2" t="inlineStr">
        <is>
          <t>GF</t>
        </is>
      </c>
      <c r="P82" s="2" t="inlineStr">
        <is>
          <t>GA</t>
        </is>
      </c>
      <c r="Q82" s="2" t="inlineStr">
        <is>
          <t>GD</t>
        </is>
      </c>
      <c r="R82" s="2" t="inlineStr">
        <is>
          <t>Pts</t>
        </is>
      </c>
    </row>
    <row r="83" ht="17" customHeight="1">
      <c r="I83" s="3" t="inlineStr"/>
      <c r="J83" s="4" t="inlineStr">
        <is>
          <t>Netherlands</t>
        </is>
      </c>
      <c r="K83" s="5">
        <f>IF(AND(D89&lt;&gt;"",E89&lt;&gt;""),1,0)+IF(AND(D91&lt;&gt;"",E91&lt;&gt;""),1,0)+IF(AND(D94&lt;&gt;"",E94&lt;&gt;""),1,0)</f>
        <v/>
      </c>
      <c r="L83" s="5">
        <f>IF(AND(D89&lt;&gt;"",E89&lt;&gt;"",D89&gt;E89),1,0)+IF(AND(D91&lt;&gt;"",E91&lt;&gt;"",D91&gt;E91),1,0)+IF(AND(D94&lt;&gt;"",E94&lt;&gt;"",E94&gt;D94),1,0)</f>
        <v/>
      </c>
      <c r="M83" s="5">
        <f>IF(AND(D89&lt;&gt;"",E89&lt;&gt;"",D89=E89),1,0)+IF(AND(D91&lt;&gt;"",E91&lt;&gt;"",D91=E91),1,0)+IF(AND(D94&lt;&gt;"",E94&lt;&gt;"",D94=E94),1,0)</f>
        <v/>
      </c>
      <c r="N83" s="5">
        <f>IF(AND(D89&lt;&gt;"",E89&lt;&gt;"",D89&lt;E89),1,0)+IF(AND(D91&lt;&gt;"",E91&lt;&gt;"",D91&lt;E91),1,0)+IF(AND(D94&lt;&gt;"",E94&lt;&gt;"",E94&lt;D94),1,0)</f>
        <v/>
      </c>
      <c r="O83" s="5">
        <f>IF(AND(D89&lt;&gt;"",E89&lt;&gt;""),D89,0)+IF(AND(D91&lt;&gt;"",E91&lt;&gt;""),D91,0)+IF(AND(D94&lt;&gt;"",E94&lt;&gt;""),E94,0)</f>
        <v/>
      </c>
      <c r="P83" s="5">
        <f>IF(AND(D89&lt;&gt;"",E89&lt;&gt;""),E89,0)+IF(AND(D91&lt;&gt;"",E91&lt;&gt;""),E91,0)+IF(AND(D94&lt;&gt;"",E94&lt;&gt;""),D94,0)</f>
        <v/>
      </c>
      <c r="Q83" s="5">
        <f>O83-P83</f>
        <v/>
      </c>
      <c r="R83" s="5">
        <f>3*L83+M83</f>
        <v/>
      </c>
      <c r="S83">
        <f>R83*10000000+(Q83+99)*100000+O83*100+4</f>
        <v/>
      </c>
    </row>
    <row r="84" ht="17" customHeight="1">
      <c r="I84" s="3" t="inlineStr"/>
      <c r="J84" s="4" t="inlineStr">
        <is>
          <t>Japan</t>
        </is>
      </c>
      <c r="K84" s="5">
        <f>IF(AND(D93&lt;&gt;"",E93&lt;&gt;""),1,0)+IF(AND(D89&lt;&gt;"",E89&lt;&gt;""),1,0)+IF(AND(D92&lt;&gt;"",E92&lt;&gt;""),1,0)</f>
        <v/>
      </c>
      <c r="L84" s="5">
        <f>IF(AND(D93&lt;&gt;"",E93&lt;&gt;"",D93&gt;E93),1,0)+IF(AND(D89&lt;&gt;"",E89&lt;&gt;"",E89&gt;D89),1,0)+IF(AND(D92&lt;&gt;"",E92&lt;&gt;"",E92&gt;D92),1,0)</f>
        <v/>
      </c>
      <c r="M84" s="5">
        <f>IF(AND(D93&lt;&gt;"",E93&lt;&gt;"",D93=E93),1,0)+IF(AND(D89&lt;&gt;"",E89&lt;&gt;"",D89=E89),1,0)+IF(AND(D92&lt;&gt;"",E92&lt;&gt;"",D92=E92),1,0)</f>
        <v/>
      </c>
      <c r="N84" s="5">
        <f>IF(AND(D93&lt;&gt;"",E93&lt;&gt;"",D93&lt;E93),1,0)+IF(AND(D89&lt;&gt;"",E89&lt;&gt;"",E89&lt;D89),1,0)+IF(AND(D92&lt;&gt;"",E92&lt;&gt;"",E92&lt;D92),1,0)</f>
        <v/>
      </c>
      <c r="O84" s="5">
        <f>IF(AND(D93&lt;&gt;"",E93&lt;&gt;""),D93,0)+IF(AND(D89&lt;&gt;"",E89&lt;&gt;""),E89,0)+IF(AND(D92&lt;&gt;"",E92&lt;&gt;""),E92,0)</f>
        <v/>
      </c>
      <c r="P84" s="5">
        <f>IF(AND(D93&lt;&gt;"",E93&lt;&gt;""),E93,0)+IF(AND(D89&lt;&gt;"",E89&lt;&gt;""),D89,0)+IF(AND(D92&lt;&gt;"",E92&lt;&gt;""),D92,0)</f>
        <v/>
      </c>
      <c r="Q84" s="5">
        <f>O84-P84</f>
        <v/>
      </c>
      <c r="R84" s="5">
        <f>3*L84+M84</f>
        <v/>
      </c>
      <c r="S84">
        <f>R84*10000000+(Q84+99)*100000+O84*100+3</f>
        <v/>
      </c>
    </row>
    <row r="85" ht="17" customHeight="1">
      <c r="I85" s="3" t="inlineStr"/>
      <c r="J85" s="4" t="inlineStr">
        <is>
          <t>Tunisia</t>
        </is>
      </c>
      <c r="K85" s="5">
        <f>IF(AND(D92&lt;&gt;"",E92&lt;&gt;""),1,0)+IF(AND(D94&lt;&gt;"",E94&lt;&gt;""),1,0)+IF(AND(D90&lt;&gt;"",E90&lt;&gt;""),1,0)</f>
        <v/>
      </c>
      <c r="L85" s="5">
        <f>IF(AND(D92&lt;&gt;"",E92&lt;&gt;"",D92&gt;E92),1,0)+IF(AND(D94&lt;&gt;"",E94&lt;&gt;"",D94&gt;E94),1,0)+IF(AND(D90&lt;&gt;"",E90&lt;&gt;"",E90&gt;D90),1,0)</f>
        <v/>
      </c>
      <c r="M85" s="5">
        <f>IF(AND(D92&lt;&gt;"",E92&lt;&gt;"",D92=E92),1,0)+IF(AND(D94&lt;&gt;"",E94&lt;&gt;"",D94=E94),1,0)+IF(AND(D90&lt;&gt;"",E90&lt;&gt;"",D90=E90),1,0)</f>
        <v/>
      </c>
      <c r="N85" s="5">
        <f>IF(AND(D92&lt;&gt;"",E92&lt;&gt;"",D92&lt;E92),1,0)+IF(AND(D94&lt;&gt;"",E94&lt;&gt;"",D94&lt;E94),1,0)+IF(AND(D90&lt;&gt;"",E90&lt;&gt;"",E90&lt;D90),1,0)</f>
        <v/>
      </c>
      <c r="O85" s="5">
        <f>IF(AND(D92&lt;&gt;"",E92&lt;&gt;""),D92,0)+IF(AND(D94&lt;&gt;"",E94&lt;&gt;""),D94,0)+IF(AND(D90&lt;&gt;"",E90&lt;&gt;""),E90,0)</f>
        <v/>
      </c>
      <c r="P85" s="5">
        <f>IF(AND(D92&lt;&gt;"",E92&lt;&gt;""),E92,0)+IF(AND(D94&lt;&gt;"",E94&lt;&gt;""),E94,0)+IF(AND(D90&lt;&gt;"",E90&lt;&gt;""),D90,0)</f>
        <v/>
      </c>
      <c r="Q85" s="5">
        <f>O85-P85</f>
        <v/>
      </c>
      <c r="R85" s="5">
        <f>3*L85+M85</f>
        <v/>
      </c>
      <c r="S85">
        <f>R85*10000000+(Q85+99)*100000+O85*100+2</f>
        <v/>
      </c>
    </row>
    <row r="86" ht="17" customHeight="1">
      <c r="I86" s="3" t="inlineStr"/>
      <c r="J86" s="4" t="inlineStr">
        <is>
          <t>Sweden</t>
        </is>
      </c>
      <c r="K86" s="5">
        <f>IF(AND(D90&lt;&gt;"",E90&lt;&gt;""),1,0)+IF(AND(D91&lt;&gt;"",E91&lt;&gt;""),1,0)+IF(AND(D93&lt;&gt;"",E93&lt;&gt;""),1,0)</f>
        <v/>
      </c>
      <c r="L86" s="5">
        <f>IF(AND(D90&lt;&gt;"",E90&lt;&gt;"",D90&gt;E90),1,0)+IF(AND(D91&lt;&gt;"",E91&lt;&gt;"",E91&gt;D91),1,0)+IF(AND(D93&lt;&gt;"",E93&lt;&gt;"",E93&gt;D93),1,0)</f>
        <v/>
      </c>
      <c r="M86" s="5">
        <f>IF(AND(D90&lt;&gt;"",E90&lt;&gt;"",D90=E90),1,0)+IF(AND(D91&lt;&gt;"",E91&lt;&gt;"",D91=E91),1,0)+IF(AND(D93&lt;&gt;"",E93&lt;&gt;"",D93=E93),1,0)</f>
        <v/>
      </c>
      <c r="N86" s="5">
        <f>IF(AND(D90&lt;&gt;"",E90&lt;&gt;"",D90&lt;E90),1,0)+IF(AND(D91&lt;&gt;"",E91&lt;&gt;"",E91&lt;D91),1,0)+IF(AND(D93&lt;&gt;"",E93&lt;&gt;"",E93&lt;D93),1,0)</f>
        <v/>
      </c>
      <c r="O86" s="5">
        <f>IF(AND(D90&lt;&gt;"",E90&lt;&gt;""),D90,0)+IF(AND(D91&lt;&gt;"",E91&lt;&gt;""),E91,0)+IF(AND(D93&lt;&gt;"",E93&lt;&gt;""),E93,0)</f>
        <v/>
      </c>
      <c r="P86" s="5">
        <f>IF(AND(D90&lt;&gt;"",E90&lt;&gt;""),E90,0)+IF(AND(D91&lt;&gt;"",E91&lt;&gt;""),D91,0)+IF(AND(D93&lt;&gt;"",E93&lt;&gt;""),D93,0)</f>
        <v/>
      </c>
      <c r="Q86" s="5">
        <f>O86-P86</f>
        <v/>
      </c>
      <c r="R86" s="5">
        <f>3*L86+M86</f>
        <v/>
      </c>
      <c r="S86">
        <f>R86*10000000+(Q86+99)*100000+O86*100+1</f>
        <v/>
      </c>
    </row>
    <row r="88" ht="16" customHeight="1">
      <c r="A88" s="6" t="inlineStr">
        <is>
          <t>MD</t>
        </is>
      </c>
      <c r="B88" s="6" t="inlineStr">
        <is>
          <t>Date / Time (ET)</t>
        </is>
      </c>
      <c r="C88" s="6" t="inlineStr">
        <is>
          <t>Home Team</t>
        </is>
      </c>
      <c r="D88" s="6" t="inlineStr">
        <is>
          <t>G</t>
        </is>
      </c>
      <c r="E88" s="6" t="inlineStr">
        <is>
          <t>G</t>
        </is>
      </c>
      <c r="F88" s="6" t="inlineStr">
        <is>
          <t>Away Team</t>
        </is>
      </c>
      <c r="G88" s="6" t="inlineStr">
        <is>
          <t>Venue</t>
        </is>
      </c>
    </row>
    <row r="89" ht="20" customHeight="1">
      <c r="A89" s="7" t="n">
        <v>1</v>
      </c>
      <c r="B89" s="8" t="inlineStr">
        <is>
          <t>Jun 14 · 4 pm ET</t>
        </is>
      </c>
      <c r="C89" s="9" t="inlineStr">
        <is>
          <t>Netherlands</t>
        </is>
      </c>
      <c r="D89" s="10" t="n"/>
      <c r="E89" s="10" t="n"/>
      <c r="F89" s="9" t="inlineStr">
        <is>
          <t>Japan</t>
        </is>
      </c>
      <c r="G89" s="11" t="inlineStr">
        <is>
          <t>Dallas</t>
        </is>
      </c>
    </row>
    <row r="90" ht="20" customHeight="1">
      <c r="A90" s="7" t="n">
        <v>1</v>
      </c>
      <c r="B90" s="8" t="inlineStr">
        <is>
          <t>Jun 14 · 10 pm ET</t>
        </is>
      </c>
      <c r="C90" s="9" t="inlineStr">
        <is>
          <t>Sweden</t>
        </is>
      </c>
      <c r="D90" s="10" t="n"/>
      <c r="E90" s="10" t="n"/>
      <c r="F90" s="9" t="inlineStr">
        <is>
          <t>Tunisia</t>
        </is>
      </c>
      <c r="G90" s="11" t="inlineStr">
        <is>
          <t>Monterrey</t>
        </is>
      </c>
    </row>
    <row r="91" ht="20" customHeight="1">
      <c r="A91" s="7" t="n">
        <v>2</v>
      </c>
      <c r="B91" s="8" t="inlineStr">
        <is>
          <t>Jun 20 · 1 pm ET</t>
        </is>
      </c>
      <c r="C91" s="9" t="inlineStr">
        <is>
          <t>Netherlands</t>
        </is>
      </c>
      <c r="D91" s="10" t="n"/>
      <c r="E91" s="10" t="n"/>
      <c r="F91" s="9" t="inlineStr">
        <is>
          <t>Sweden</t>
        </is>
      </c>
      <c r="G91" s="11" t="inlineStr">
        <is>
          <t>Houston</t>
        </is>
      </c>
    </row>
    <row r="92" ht="20" customHeight="1">
      <c r="A92" s="7" t="n">
        <v>2</v>
      </c>
      <c r="B92" s="8" t="inlineStr">
        <is>
          <t>Jun 20 · 12 am ET</t>
        </is>
      </c>
      <c r="C92" s="9" t="inlineStr">
        <is>
          <t>Tunisia</t>
        </is>
      </c>
      <c r="D92" s="10" t="n"/>
      <c r="E92" s="10" t="n"/>
      <c r="F92" s="9" t="inlineStr">
        <is>
          <t>Japan</t>
        </is>
      </c>
      <c r="G92" s="11" t="inlineStr">
        <is>
          <t>Monterrey</t>
        </is>
      </c>
    </row>
    <row r="93" ht="20" customHeight="1">
      <c r="A93" s="7" t="n">
        <v>3</v>
      </c>
      <c r="B93" s="8" t="inlineStr">
        <is>
          <t>Jun 25 · 7 pm ET</t>
        </is>
      </c>
      <c r="C93" s="9" t="inlineStr">
        <is>
          <t>Japan</t>
        </is>
      </c>
      <c r="D93" s="10" t="n"/>
      <c r="E93" s="10" t="n"/>
      <c r="F93" s="9" t="inlineStr">
        <is>
          <t>Sweden</t>
        </is>
      </c>
      <c r="G93" s="11" t="inlineStr">
        <is>
          <t>Dallas</t>
        </is>
      </c>
    </row>
    <row r="94" ht="20" customHeight="1">
      <c r="A94" s="7" t="n">
        <v>3</v>
      </c>
      <c r="B94" s="8" t="inlineStr">
        <is>
          <t>Jun 25 · 7 pm ET</t>
        </is>
      </c>
      <c r="C94" s="9" t="inlineStr">
        <is>
          <t>Tunisia</t>
        </is>
      </c>
      <c r="D94" s="10" t="n"/>
      <c r="E94" s="10" t="n"/>
      <c r="F94" s="9" t="inlineStr">
        <is>
          <t>Netherlands</t>
        </is>
      </c>
      <c r="G94" s="11" t="inlineStr">
        <is>
          <t>Kansas City</t>
        </is>
      </c>
    </row>
    <row r="97" ht="24" customHeight="1">
      <c r="A97" s="12" t="inlineStr">
        <is>
          <t xml:space="preserve">  GROUP G</t>
        </is>
      </c>
    </row>
    <row r="98" ht="16" customHeight="1">
      <c r="I98" s="2" t="inlineStr">
        <is>
          <t>#</t>
        </is>
      </c>
      <c r="J98" s="2" t="inlineStr">
        <is>
          <t>Team</t>
        </is>
      </c>
      <c r="K98" s="2" t="inlineStr">
        <is>
          <t>GP</t>
        </is>
      </c>
      <c r="L98" s="2" t="inlineStr">
        <is>
          <t>W</t>
        </is>
      </c>
      <c r="M98" s="2" t="inlineStr">
        <is>
          <t>D</t>
        </is>
      </c>
      <c r="N98" s="2" t="inlineStr">
        <is>
          <t>L</t>
        </is>
      </c>
      <c r="O98" s="2" t="inlineStr">
        <is>
          <t>GF</t>
        </is>
      </c>
      <c r="P98" s="2" t="inlineStr">
        <is>
          <t>GA</t>
        </is>
      </c>
      <c r="Q98" s="2" t="inlineStr">
        <is>
          <t>GD</t>
        </is>
      </c>
      <c r="R98" s="2" t="inlineStr">
        <is>
          <t>Pts</t>
        </is>
      </c>
    </row>
    <row r="99" ht="17" customHeight="1">
      <c r="I99" s="3" t="inlineStr"/>
      <c r="J99" s="4" t="inlineStr">
        <is>
          <t>Belgium</t>
        </is>
      </c>
      <c r="K99" s="5">
        <f>IF(AND(D105&lt;&gt;"",E105&lt;&gt;""),1,0)+IF(AND(D107&lt;&gt;"",E107&lt;&gt;""),1,0)+IF(AND(D110&lt;&gt;"",E110&lt;&gt;""),1,0)</f>
        <v/>
      </c>
      <c r="L99" s="5">
        <f>IF(AND(D105&lt;&gt;"",E105&lt;&gt;"",D105&gt;E105),1,0)+IF(AND(D107&lt;&gt;"",E107&lt;&gt;"",D107&gt;E107),1,0)+IF(AND(D110&lt;&gt;"",E110&lt;&gt;"",E110&gt;D110),1,0)</f>
        <v/>
      </c>
      <c r="M99" s="5">
        <f>IF(AND(D105&lt;&gt;"",E105&lt;&gt;"",D105=E105),1,0)+IF(AND(D107&lt;&gt;"",E107&lt;&gt;"",D107=E107),1,0)+IF(AND(D110&lt;&gt;"",E110&lt;&gt;"",D110=E110),1,0)</f>
        <v/>
      </c>
      <c r="N99" s="5">
        <f>IF(AND(D105&lt;&gt;"",E105&lt;&gt;"",D105&lt;E105),1,0)+IF(AND(D107&lt;&gt;"",E107&lt;&gt;"",D107&lt;E107),1,0)+IF(AND(D110&lt;&gt;"",E110&lt;&gt;"",E110&lt;D110),1,0)</f>
        <v/>
      </c>
      <c r="O99" s="5">
        <f>IF(AND(D105&lt;&gt;"",E105&lt;&gt;""),D105,0)+IF(AND(D107&lt;&gt;"",E107&lt;&gt;""),D107,0)+IF(AND(D110&lt;&gt;"",E110&lt;&gt;""),E110,0)</f>
        <v/>
      </c>
      <c r="P99" s="5">
        <f>IF(AND(D105&lt;&gt;"",E105&lt;&gt;""),E105,0)+IF(AND(D107&lt;&gt;"",E107&lt;&gt;""),E107,0)+IF(AND(D110&lt;&gt;"",E110&lt;&gt;""),D110,0)</f>
        <v/>
      </c>
      <c r="Q99" s="5">
        <f>O99-P99</f>
        <v/>
      </c>
      <c r="R99" s="5">
        <f>3*L99+M99</f>
        <v/>
      </c>
      <c r="S99">
        <f>R99*10000000+(Q99+99)*100000+O99*100+4</f>
        <v/>
      </c>
    </row>
    <row r="100" ht="17" customHeight="1">
      <c r="I100" s="3" t="inlineStr"/>
      <c r="J100" s="4" t="inlineStr">
        <is>
          <t>Iran</t>
        </is>
      </c>
      <c r="K100" s="5">
        <f>IF(AND(D106&lt;&gt;"",E106&lt;&gt;""),1,0)+IF(AND(D107&lt;&gt;"",E107&lt;&gt;""),1,0)+IF(AND(D109&lt;&gt;"",E109&lt;&gt;""),1,0)</f>
        <v/>
      </c>
      <c r="L100" s="5">
        <f>IF(AND(D106&lt;&gt;"",E106&lt;&gt;"",D106&gt;E106),1,0)+IF(AND(D107&lt;&gt;"",E107&lt;&gt;"",E107&gt;D107),1,0)+IF(AND(D109&lt;&gt;"",E109&lt;&gt;"",E109&gt;D109),1,0)</f>
        <v/>
      </c>
      <c r="M100" s="5">
        <f>IF(AND(D106&lt;&gt;"",E106&lt;&gt;"",D106=E106),1,0)+IF(AND(D107&lt;&gt;"",E107&lt;&gt;"",D107=E107),1,0)+IF(AND(D109&lt;&gt;"",E109&lt;&gt;"",D109=E109),1,0)</f>
        <v/>
      </c>
      <c r="N100" s="5">
        <f>IF(AND(D106&lt;&gt;"",E106&lt;&gt;"",D106&lt;E106),1,0)+IF(AND(D107&lt;&gt;"",E107&lt;&gt;"",E107&lt;D107),1,0)+IF(AND(D109&lt;&gt;"",E109&lt;&gt;"",E109&lt;D109),1,0)</f>
        <v/>
      </c>
      <c r="O100" s="5">
        <f>IF(AND(D106&lt;&gt;"",E106&lt;&gt;""),D106,0)+IF(AND(D107&lt;&gt;"",E107&lt;&gt;""),E107,0)+IF(AND(D109&lt;&gt;"",E109&lt;&gt;""),E109,0)</f>
        <v/>
      </c>
      <c r="P100" s="5">
        <f>IF(AND(D106&lt;&gt;"",E106&lt;&gt;""),E106,0)+IF(AND(D107&lt;&gt;"",E107&lt;&gt;""),D107,0)+IF(AND(D109&lt;&gt;"",E109&lt;&gt;""),D109,0)</f>
        <v/>
      </c>
      <c r="Q100" s="5">
        <f>O100-P100</f>
        <v/>
      </c>
      <c r="R100" s="5">
        <f>3*L100+M100</f>
        <v/>
      </c>
      <c r="S100">
        <f>R100*10000000+(Q100+99)*100000+O100*100+3</f>
        <v/>
      </c>
    </row>
    <row r="101" ht="17" customHeight="1">
      <c r="I101" s="3" t="inlineStr"/>
      <c r="J101" s="4" t="inlineStr">
        <is>
          <t>Egypt</t>
        </is>
      </c>
      <c r="K101" s="5">
        <f>IF(AND(D109&lt;&gt;"",E109&lt;&gt;""),1,0)+IF(AND(D105&lt;&gt;"",E105&lt;&gt;""),1,0)+IF(AND(D108&lt;&gt;"",E108&lt;&gt;""),1,0)</f>
        <v/>
      </c>
      <c r="L101" s="5">
        <f>IF(AND(D109&lt;&gt;"",E109&lt;&gt;"",D109&gt;E109),1,0)+IF(AND(D105&lt;&gt;"",E105&lt;&gt;"",E105&gt;D105),1,0)+IF(AND(D108&lt;&gt;"",E108&lt;&gt;"",E108&gt;D108),1,0)</f>
        <v/>
      </c>
      <c r="M101" s="5">
        <f>IF(AND(D109&lt;&gt;"",E109&lt;&gt;"",D109=E109),1,0)+IF(AND(D105&lt;&gt;"",E105&lt;&gt;"",D105=E105),1,0)+IF(AND(D108&lt;&gt;"",E108&lt;&gt;"",D108=E108),1,0)</f>
        <v/>
      </c>
      <c r="N101" s="5">
        <f>IF(AND(D109&lt;&gt;"",E109&lt;&gt;"",D109&lt;E109),1,0)+IF(AND(D105&lt;&gt;"",E105&lt;&gt;"",E105&lt;D105),1,0)+IF(AND(D108&lt;&gt;"",E108&lt;&gt;"",E108&lt;D108),1,0)</f>
        <v/>
      </c>
      <c r="O101" s="5">
        <f>IF(AND(D109&lt;&gt;"",E109&lt;&gt;""),D109,0)+IF(AND(D105&lt;&gt;"",E105&lt;&gt;""),E105,0)+IF(AND(D108&lt;&gt;"",E108&lt;&gt;""),E108,0)</f>
        <v/>
      </c>
      <c r="P101" s="5">
        <f>IF(AND(D109&lt;&gt;"",E109&lt;&gt;""),E109,0)+IF(AND(D105&lt;&gt;"",E105&lt;&gt;""),D105,0)+IF(AND(D108&lt;&gt;"",E108&lt;&gt;""),D108,0)</f>
        <v/>
      </c>
      <c r="Q101" s="5">
        <f>O101-P101</f>
        <v/>
      </c>
      <c r="R101" s="5">
        <f>3*L101+M101</f>
        <v/>
      </c>
      <c r="S101">
        <f>R101*10000000+(Q101+99)*100000+O101*100+2</f>
        <v/>
      </c>
    </row>
    <row r="102" ht="17" customHeight="1">
      <c r="I102" s="3" t="inlineStr"/>
      <c r="J102" s="4" t="inlineStr">
        <is>
          <t>New Zealand</t>
        </is>
      </c>
      <c r="K102" s="5">
        <f>IF(AND(D108&lt;&gt;"",E108&lt;&gt;""),1,0)+IF(AND(D110&lt;&gt;"",E110&lt;&gt;""),1,0)+IF(AND(D106&lt;&gt;"",E106&lt;&gt;""),1,0)</f>
        <v/>
      </c>
      <c r="L102" s="5">
        <f>IF(AND(D108&lt;&gt;"",E108&lt;&gt;"",D108&gt;E108),1,0)+IF(AND(D110&lt;&gt;"",E110&lt;&gt;"",D110&gt;E110),1,0)+IF(AND(D106&lt;&gt;"",E106&lt;&gt;"",E106&gt;D106),1,0)</f>
        <v/>
      </c>
      <c r="M102" s="5">
        <f>IF(AND(D108&lt;&gt;"",E108&lt;&gt;"",D108=E108),1,0)+IF(AND(D110&lt;&gt;"",E110&lt;&gt;"",D110=E110),1,0)+IF(AND(D106&lt;&gt;"",E106&lt;&gt;"",D106=E106),1,0)</f>
        <v/>
      </c>
      <c r="N102" s="5">
        <f>IF(AND(D108&lt;&gt;"",E108&lt;&gt;"",D108&lt;E108),1,0)+IF(AND(D110&lt;&gt;"",E110&lt;&gt;"",D110&lt;E110),1,0)+IF(AND(D106&lt;&gt;"",E106&lt;&gt;"",E106&lt;D106),1,0)</f>
        <v/>
      </c>
      <c r="O102" s="5">
        <f>IF(AND(D108&lt;&gt;"",E108&lt;&gt;""),D108,0)+IF(AND(D110&lt;&gt;"",E110&lt;&gt;""),D110,0)+IF(AND(D106&lt;&gt;"",E106&lt;&gt;""),E106,0)</f>
        <v/>
      </c>
      <c r="P102" s="5">
        <f>IF(AND(D108&lt;&gt;"",E108&lt;&gt;""),E108,0)+IF(AND(D110&lt;&gt;"",E110&lt;&gt;""),E110,0)+IF(AND(D106&lt;&gt;"",E106&lt;&gt;""),D106,0)</f>
        <v/>
      </c>
      <c r="Q102" s="5">
        <f>O102-P102</f>
        <v/>
      </c>
      <c r="R102" s="5">
        <f>3*L102+M102</f>
        <v/>
      </c>
      <c r="S102">
        <f>R102*10000000+(Q102+99)*100000+O102*100+1</f>
        <v/>
      </c>
    </row>
    <row r="104" ht="16" customHeight="1">
      <c r="A104" s="6" t="inlineStr">
        <is>
          <t>MD</t>
        </is>
      </c>
      <c r="B104" s="6" t="inlineStr">
        <is>
          <t>Date / Time (ET)</t>
        </is>
      </c>
      <c r="C104" s="6" t="inlineStr">
        <is>
          <t>Home Team</t>
        </is>
      </c>
      <c r="D104" s="6" t="inlineStr">
        <is>
          <t>G</t>
        </is>
      </c>
      <c r="E104" s="6" t="inlineStr">
        <is>
          <t>G</t>
        </is>
      </c>
      <c r="F104" s="6" t="inlineStr">
        <is>
          <t>Away Team</t>
        </is>
      </c>
      <c r="G104" s="6" t="inlineStr">
        <is>
          <t>Venue</t>
        </is>
      </c>
    </row>
    <row r="105" ht="20" customHeight="1">
      <c r="A105" s="7" t="n">
        <v>1</v>
      </c>
      <c r="B105" s="8" t="inlineStr">
        <is>
          <t>Jun 15 · 3 pm ET</t>
        </is>
      </c>
      <c r="C105" s="9" t="inlineStr">
        <is>
          <t>Belgium</t>
        </is>
      </c>
      <c r="D105" s="10" t="n"/>
      <c r="E105" s="10" t="n"/>
      <c r="F105" s="9" t="inlineStr">
        <is>
          <t>Egypt</t>
        </is>
      </c>
      <c r="G105" s="11" t="inlineStr">
        <is>
          <t>Seattle</t>
        </is>
      </c>
    </row>
    <row r="106" ht="20" customHeight="1">
      <c r="A106" s="7" t="n">
        <v>1</v>
      </c>
      <c r="B106" s="8" t="inlineStr">
        <is>
          <t>Jun 15 · 9 pm ET</t>
        </is>
      </c>
      <c r="C106" s="9" t="inlineStr">
        <is>
          <t>Iran</t>
        </is>
      </c>
      <c r="D106" s="10" t="n"/>
      <c r="E106" s="10" t="n"/>
      <c r="F106" s="9" t="inlineStr">
        <is>
          <t>New Zealand</t>
        </is>
      </c>
      <c r="G106" s="11" t="inlineStr">
        <is>
          <t>Los Angeles</t>
        </is>
      </c>
    </row>
    <row r="107" ht="20" customHeight="1">
      <c r="A107" s="7" t="n">
        <v>2</v>
      </c>
      <c r="B107" s="8" t="inlineStr">
        <is>
          <t>Jun 21 · 3 pm ET</t>
        </is>
      </c>
      <c r="C107" s="9" t="inlineStr">
        <is>
          <t>Belgium</t>
        </is>
      </c>
      <c r="D107" s="10" t="n"/>
      <c r="E107" s="10" t="n"/>
      <c r="F107" s="9" t="inlineStr">
        <is>
          <t>Iran</t>
        </is>
      </c>
      <c r="G107" s="11" t="inlineStr">
        <is>
          <t>Los Angeles</t>
        </is>
      </c>
    </row>
    <row r="108" ht="20" customHeight="1">
      <c r="A108" s="7" t="n">
        <v>2</v>
      </c>
      <c r="B108" s="8" t="inlineStr">
        <is>
          <t>Jun 21 · 9 pm ET</t>
        </is>
      </c>
      <c r="C108" s="9" t="inlineStr">
        <is>
          <t>New Zealand</t>
        </is>
      </c>
      <c r="D108" s="10" t="n"/>
      <c r="E108" s="10" t="n"/>
      <c r="F108" s="9" t="inlineStr">
        <is>
          <t>Egypt</t>
        </is>
      </c>
      <c r="G108" s="11" t="inlineStr">
        <is>
          <t>Vancouver</t>
        </is>
      </c>
    </row>
    <row r="109" ht="20" customHeight="1">
      <c r="A109" s="7" t="n">
        <v>3</v>
      </c>
      <c r="B109" s="8" t="inlineStr">
        <is>
          <t>Jun 26 · 11 pm ET</t>
        </is>
      </c>
      <c r="C109" s="9" t="inlineStr">
        <is>
          <t>Egypt</t>
        </is>
      </c>
      <c r="D109" s="10" t="n"/>
      <c r="E109" s="10" t="n"/>
      <c r="F109" s="9" t="inlineStr">
        <is>
          <t>Iran</t>
        </is>
      </c>
      <c r="G109" s="11" t="inlineStr">
        <is>
          <t>Seattle</t>
        </is>
      </c>
    </row>
    <row r="110" ht="20" customHeight="1">
      <c r="A110" s="7" t="n">
        <v>3</v>
      </c>
      <c r="B110" s="8" t="inlineStr">
        <is>
          <t>Jun 26 · 11 pm ET</t>
        </is>
      </c>
      <c r="C110" s="9" t="inlineStr">
        <is>
          <t>New Zealand</t>
        </is>
      </c>
      <c r="D110" s="10" t="n"/>
      <c r="E110" s="10" t="n"/>
      <c r="F110" s="9" t="inlineStr">
        <is>
          <t>Belgium</t>
        </is>
      </c>
      <c r="G110" s="11" t="inlineStr">
        <is>
          <t>Vancouver</t>
        </is>
      </c>
    </row>
    <row r="113" ht="24" customHeight="1">
      <c r="A113" s="12" t="inlineStr">
        <is>
          <t xml:space="preserve">  GROUP H</t>
        </is>
      </c>
    </row>
    <row r="114" ht="16" customHeight="1">
      <c r="I114" s="2" t="inlineStr">
        <is>
          <t>#</t>
        </is>
      </c>
      <c r="J114" s="2" t="inlineStr">
        <is>
          <t>Team</t>
        </is>
      </c>
      <c r="K114" s="2" t="inlineStr">
        <is>
          <t>GP</t>
        </is>
      </c>
      <c r="L114" s="2" t="inlineStr">
        <is>
          <t>W</t>
        </is>
      </c>
      <c r="M114" s="2" t="inlineStr">
        <is>
          <t>D</t>
        </is>
      </c>
      <c r="N114" s="2" t="inlineStr">
        <is>
          <t>L</t>
        </is>
      </c>
      <c r="O114" s="2" t="inlineStr">
        <is>
          <t>GF</t>
        </is>
      </c>
      <c r="P114" s="2" t="inlineStr">
        <is>
          <t>GA</t>
        </is>
      </c>
      <c r="Q114" s="2" t="inlineStr">
        <is>
          <t>GD</t>
        </is>
      </c>
      <c r="R114" s="2" t="inlineStr">
        <is>
          <t>Pts</t>
        </is>
      </c>
    </row>
    <row r="115" ht="17" customHeight="1">
      <c r="I115" s="3" t="inlineStr"/>
      <c r="J115" s="4" t="inlineStr">
        <is>
          <t>Spain</t>
        </is>
      </c>
      <c r="K115" s="5">
        <f>IF(AND(D121&lt;&gt;"",E121&lt;&gt;""),1,0)+IF(AND(D123&lt;&gt;"",E123&lt;&gt;""),1,0)+IF(AND(D126&lt;&gt;"",E126&lt;&gt;""),1,0)</f>
        <v/>
      </c>
      <c r="L115" s="5">
        <f>IF(AND(D121&lt;&gt;"",E121&lt;&gt;"",D121&gt;E121),1,0)+IF(AND(D123&lt;&gt;"",E123&lt;&gt;"",D123&gt;E123),1,0)+IF(AND(D126&lt;&gt;"",E126&lt;&gt;"",E126&gt;D126),1,0)</f>
        <v/>
      </c>
      <c r="M115" s="5">
        <f>IF(AND(D121&lt;&gt;"",E121&lt;&gt;"",D121=E121),1,0)+IF(AND(D123&lt;&gt;"",E123&lt;&gt;"",D123=E123),1,0)+IF(AND(D126&lt;&gt;"",E126&lt;&gt;"",D126=E126),1,0)</f>
        <v/>
      </c>
      <c r="N115" s="5">
        <f>IF(AND(D121&lt;&gt;"",E121&lt;&gt;"",D121&lt;E121),1,0)+IF(AND(D123&lt;&gt;"",E123&lt;&gt;"",D123&lt;E123),1,0)+IF(AND(D126&lt;&gt;"",E126&lt;&gt;"",E126&lt;D126),1,0)</f>
        <v/>
      </c>
      <c r="O115" s="5">
        <f>IF(AND(D121&lt;&gt;"",E121&lt;&gt;""),D121,0)+IF(AND(D123&lt;&gt;"",E123&lt;&gt;""),D123,0)+IF(AND(D126&lt;&gt;"",E126&lt;&gt;""),E126,0)</f>
        <v/>
      </c>
      <c r="P115" s="5">
        <f>IF(AND(D121&lt;&gt;"",E121&lt;&gt;""),E121,0)+IF(AND(D123&lt;&gt;"",E123&lt;&gt;""),E123,0)+IF(AND(D126&lt;&gt;"",E126&lt;&gt;""),D126,0)</f>
        <v/>
      </c>
      <c r="Q115" s="5">
        <f>O115-P115</f>
        <v/>
      </c>
      <c r="R115" s="5">
        <f>3*L115+M115</f>
        <v/>
      </c>
      <c r="S115">
        <f>R115*10000000+(Q115+99)*100000+O115*100+4</f>
        <v/>
      </c>
    </row>
    <row r="116" ht="17" customHeight="1">
      <c r="I116" s="3" t="inlineStr"/>
      <c r="J116" s="4" t="inlineStr">
        <is>
          <t>Uruguay</t>
        </is>
      </c>
      <c r="K116" s="5">
        <f>IF(AND(D124&lt;&gt;"",E124&lt;&gt;""),1,0)+IF(AND(D126&lt;&gt;"",E126&lt;&gt;""),1,0)+IF(AND(D122&lt;&gt;"",E122&lt;&gt;""),1,0)</f>
        <v/>
      </c>
      <c r="L116" s="5">
        <f>IF(AND(D124&lt;&gt;"",E124&lt;&gt;"",D124&gt;E124),1,0)+IF(AND(D126&lt;&gt;"",E126&lt;&gt;"",D126&gt;E126),1,0)+IF(AND(D122&lt;&gt;"",E122&lt;&gt;"",E122&gt;D122),1,0)</f>
        <v/>
      </c>
      <c r="M116" s="5">
        <f>IF(AND(D124&lt;&gt;"",E124&lt;&gt;"",D124=E124),1,0)+IF(AND(D126&lt;&gt;"",E126&lt;&gt;"",D126=E126),1,0)+IF(AND(D122&lt;&gt;"",E122&lt;&gt;"",D122=E122),1,0)</f>
        <v/>
      </c>
      <c r="N116" s="5">
        <f>IF(AND(D124&lt;&gt;"",E124&lt;&gt;"",D124&lt;E124),1,0)+IF(AND(D126&lt;&gt;"",E126&lt;&gt;"",D126&lt;E126),1,0)+IF(AND(D122&lt;&gt;"",E122&lt;&gt;"",E122&lt;D122),1,0)</f>
        <v/>
      </c>
      <c r="O116" s="5">
        <f>IF(AND(D124&lt;&gt;"",E124&lt;&gt;""),D124,0)+IF(AND(D126&lt;&gt;"",E126&lt;&gt;""),D126,0)+IF(AND(D122&lt;&gt;"",E122&lt;&gt;""),E122,0)</f>
        <v/>
      </c>
      <c r="P116" s="5">
        <f>IF(AND(D124&lt;&gt;"",E124&lt;&gt;""),E124,0)+IF(AND(D126&lt;&gt;"",E126&lt;&gt;""),E126,0)+IF(AND(D122&lt;&gt;"",E122&lt;&gt;""),D122,0)</f>
        <v/>
      </c>
      <c r="Q116" s="5">
        <f>O116-P116</f>
        <v/>
      </c>
      <c r="R116" s="5">
        <f>3*L116+M116</f>
        <v/>
      </c>
      <c r="S116">
        <f>R116*10000000+(Q116+99)*100000+O116*100+3</f>
        <v/>
      </c>
    </row>
    <row r="117" ht="17" customHeight="1">
      <c r="I117" s="3" t="inlineStr"/>
      <c r="J117" s="4" t="inlineStr">
        <is>
          <t>Cape Verde</t>
        </is>
      </c>
      <c r="K117" s="5">
        <f>IF(AND(D125&lt;&gt;"",E125&lt;&gt;""),1,0)+IF(AND(D121&lt;&gt;"",E121&lt;&gt;""),1,0)+IF(AND(D124&lt;&gt;"",E124&lt;&gt;""),1,0)</f>
        <v/>
      </c>
      <c r="L117" s="5">
        <f>IF(AND(D125&lt;&gt;"",E125&lt;&gt;"",D125&gt;E125),1,0)+IF(AND(D121&lt;&gt;"",E121&lt;&gt;"",E121&gt;D121),1,0)+IF(AND(D124&lt;&gt;"",E124&lt;&gt;"",E124&gt;D124),1,0)</f>
        <v/>
      </c>
      <c r="M117" s="5">
        <f>IF(AND(D125&lt;&gt;"",E125&lt;&gt;"",D125=E125),1,0)+IF(AND(D121&lt;&gt;"",E121&lt;&gt;"",D121=E121),1,0)+IF(AND(D124&lt;&gt;"",E124&lt;&gt;"",D124=E124),1,0)</f>
        <v/>
      </c>
      <c r="N117" s="5">
        <f>IF(AND(D125&lt;&gt;"",E125&lt;&gt;"",D125&lt;E125),1,0)+IF(AND(D121&lt;&gt;"",E121&lt;&gt;"",E121&lt;D121),1,0)+IF(AND(D124&lt;&gt;"",E124&lt;&gt;"",E124&lt;D124),1,0)</f>
        <v/>
      </c>
      <c r="O117" s="5">
        <f>IF(AND(D125&lt;&gt;"",E125&lt;&gt;""),D125,0)+IF(AND(D121&lt;&gt;"",E121&lt;&gt;""),E121,0)+IF(AND(D124&lt;&gt;"",E124&lt;&gt;""),E124,0)</f>
        <v/>
      </c>
      <c r="P117" s="5">
        <f>IF(AND(D125&lt;&gt;"",E125&lt;&gt;""),E125,0)+IF(AND(D121&lt;&gt;"",E121&lt;&gt;""),D121,0)+IF(AND(D124&lt;&gt;"",E124&lt;&gt;""),D124,0)</f>
        <v/>
      </c>
      <c r="Q117" s="5">
        <f>O117-P117</f>
        <v/>
      </c>
      <c r="R117" s="5">
        <f>3*L117+M117</f>
        <v/>
      </c>
      <c r="S117">
        <f>R117*10000000+(Q117+99)*100000+O117*100+2</f>
        <v/>
      </c>
    </row>
    <row r="118" ht="17" customHeight="1">
      <c r="I118" s="3" t="inlineStr"/>
      <c r="J118" s="4" t="inlineStr">
        <is>
          <t>Saudi Arabia</t>
        </is>
      </c>
      <c r="K118" s="5">
        <f>IF(AND(D122&lt;&gt;"",E122&lt;&gt;""),1,0)+IF(AND(D123&lt;&gt;"",E123&lt;&gt;""),1,0)+IF(AND(D125&lt;&gt;"",E125&lt;&gt;""),1,0)</f>
        <v/>
      </c>
      <c r="L118" s="5">
        <f>IF(AND(D122&lt;&gt;"",E122&lt;&gt;"",D122&gt;E122),1,0)+IF(AND(D123&lt;&gt;"",E123&lt;&gt;"",E123&gt;D123),1,0)+IF(AND(D125&lt;&gt;"",E125&lt;&gt;"",E125&gt;D125),1,0)</f>
        <v/>
      </c>
      <c r="M118" s="5">
        <f>IF(AND(D122&lt;&gt;"",E122&lt;&gt;"",D122=E122),1,0)+IF(AND(D123&lt;&gt;"",E123&lt;&gt;"",D123=E123),1,0)+IF(AND(D125&lt;&gt;"",E125&lt;&gt;"",D125=E125),1,0)</f>
        <v/>
      </c>
      <c r="N118" s="5">
        <f>IF(AND(D122&lt;&gt;"",E122&lt;&gt;"",D122&lt;E122),1,0)+IF(AND(D123&lt;&gt;"",E123&lt;&gt;"",E123&lt;D123),1,0)+IF(AND(D125&lt;&gt;"",E125&lt;&gt;"",E125&lt;D125),1,0)</f>
        <v/>
      </c>
      <c r="O118" s="5">
        <f>IF(AND(D122&lt;&gt;"",E122&lt;&gt;""),D122,0)+IF(AND(D123&lt;&gt;"",E123&lt;&gt;""),E123,0)+IF(AND(D125&lt;&gt;"",E125&lt;&gt;""),E125,0)</f>
        <v/>
      </c>
      <c r="P118" s="5">
        <f>IF(AND(D122&lt;&gt;"",E122&lt;&gt;""),E122,0)+IF(AND(D123&lt;&gt;"",E123&lt;&gt;""),D123,0)+IF(AND(D125&lt;&gt;"",E125&lt;&gt;""),D125,0)</f>
        <v/>
      </c>
      <c r="Q118" s="5">
        <f>O118-P118</f>
        <v/>
      </c>
      <c r="R118" s="5">
        <f>3*L118+M118</f>
        <v/>
      </c>
      <c r="S118">
        <f>R118*10000000+(Q118+99)*100000+O118*100+1</f>
        <v/>
      </c>
    </row>
    <row r="120" ht="16" customHeight="1">
      <c r="A120" s="6" t="inlineStr">
        <is>
          <t>MD</t>
        </is>
      </c>
      <c r="B120" s="6" t="inlineStr">
        <is>
          <t>Date / Time (ET)</t>
        </is>
      </c>
      <c r="C120" s="6" t="inlineStr">
        <is>
          <t>Home Team</t>
        </is>
      </c>
      <c r="D120" s="6" t="inlineStr">
        <is>
          <t>G</t>
        </is>
      </c>
      <c r="E120" s="6" t="inlineStr">
        <is>
          <t>G</t>
        </is>
      </c>
      <c r="F120" s="6" t="inlineStr">
        <is>
          <t>Away Team</t>
        </is>
      </c>
      <c r="G120" s="6" t="inlineStr">
        <is>
          <t>Venue</t>
        </is>
      </c>
    </row>
    <row r="121" ht="20" customHeight="1">
      <c r="A121" s="7" t="n">
        <v>1</v>
      </c>
      <c r="B121" s="8" t="inlineStr">
        <is>
          <t>Jun 15 · 12 pm ET</t>
        </is>
      </c>
      <c r="C121" s="9" t="inlineStr">
        <is>
          <t>Spain</t>
        </is>
      </c>
      <c r="D121" s="10" t="n"/>
      <c r="E121" s="10" t="n"/>
      <c r="F121" s="9" t="inlineStr">
        <is>
          <t>Cape Verde</t>
        </is>
      </c>
      <c r="G121" s="11" t="inlineStr">
        <is>
          <t>Atlanta</t>
        </is>
      </c>
    </row>
    <row r="122" ht="20" customHeight="1">
      <c r="A122" s="7" t="n">
        <v>1</v>
      </c>
      <c r="B122" s="8" t="inlineStr">
        <is>
          <t>Jun 15 · 6 pm ET</t>
        </is>
      </c>
      <c r="C122" s="9" t="inlineStr">
        <is>
          <t>Saudi Arabia</t>
        </is>
      </c>
      <c r="D122" s="10" t="n"/>
      <c r="E122" s="10" t="n"/>
      <c r="F122" s="9" t="inlineStr">
        <is>
          <t>Uruguay</t>
        </is>
      </c>
      <c r="G122" s="11" t="inlineStr">
        <is>
          <t>Miami</t>
        </is>
      </c>
    </row>
    <row r="123" ht="20" customHeight="1">
      <c r="A123" s="7" t="n">
        <v>2</v>
      </c>
      <c r="B123" s="8" t="inlineStr">
        <is>
          <t>Jun 21 · 12 pm ET</t>
        </is>
      </c>
      <c r="C123" s="9" t="inlineStr">
        <is>
          <t>Spain</t>
        </is>
      </c>
      <c r="D123" s="10" t="n"/>
      <c r="E123" s="10" t="n"/>
      <c r="F123" s="9" t="inlineStr">
        <is>
          <t>Saudi Arabia</t>
        </is>
      </c>
      <c r="G123" s="11" t="inlineStr">
        <is>
          <t>Atlanta</t>
        </is>
      </c>
    </row>
    <row r="124" ht="20" customHeight="1">
      <c r="A124" s="7" t="n">
        <v>2</v>
      </c>
      <c r="B124" s="8" t="inlineStr">
        <is>
          <t>Jun 21 · 6 pm ET</t>
        </is>
      </c>
      <c r="C124" s="9" t="inlineStr">
        <is>
          <t>Uruguay</t>
        </is>
      </c>
      <c r="D124" s="10" t="n"/>
      <c r="E124" s="10" t="n"/>
      <c r="F124" s="9" t="inlineStr">
        <is>
          <t>Cape Verde</t>
        </is>
      </c>
      <c r="G124" s="11" t="inlineStr">
        <is>
          <t>Miami</t>
        </is>
      </c>
    </row>
    <row r="125" ht="20" customHeight="1">
      <c r="A125" s="7" t="n">
        <v>3</v>
      </c>
      <c r="B125" s="8" t="inlineStr">
        <is>
          <t>Jun 26 · 8 pm ET</t>
        </is>
      </c>
      <c r="C125" s="9" t="inlineStr">
        <is>
          <t>Cape Verde</t>
        </is>
      </c>
      <c r="D125" s="10" t="n"/>
      <c r="E125" s="10" t="n"/>
      <c r="F125" s="9" t="inlineStr">
        <is>
          <t>Saudi Arabia</t>
        </is>
      </c>
      <c r="G125" s="11" t="inlineStr">
        <is>
          <t>Houston</t>
        </is>
      </c>
    </row>
    <row r="126" ht="20" customHeight="1">
      <c r="A126" s="7" t="n">
        <v>3</v>
      </c>
      <c r="B126" s="8" t="inlineStr">
        <is>
          <t>Jun 26 · 8 pm ET</t>
        </is>
      </c>
      <c r="C126" s="9" t="inlineStr">
        <is>
          <t>Uruguay</t>
        </is>
      </c>
      <c r="D126" s="10" t="n"/>
      <c r="E126" s="10" t="n"/>
      <c r="F126" s="9" t="inlineStr">
        <is>
          <t>Spain</t>
        </is>
      </c>
      <c r="G126" s="11" t="inlineStr">
        <is>
          <t>Guadalajara</t>
        </is>
      </c>
    </row>
    <row r="129" ht="24" customHeight="1">
      <c r="A129" s="1" t="inlineStr">
        <is>
          <t xml:space="preserve">  GROUP I  ·  Allez les bleus! 🇫🇷</t>
        </is>
      </c>
    </row>
    <row r="130" ht="16" customHeight="1">
      <c r="I130" s="2" t="inlineStr">
        <is>
          <t>#</t>
        </is>
      </c>
      <c r="J130" s="2" t="inlineStr">
        <is>
          <t>Team</t>
        </is>
      </c>
      <c r="K130" s="2" t="inlineStr">
        <is>
          <t>GP</t>
        </is>
      </c>
      <c r="L130" s="2" t="inlineStr">
        <is>
          <t>W</t>
        </is>
      </c>
      <c r="M130" s="2" t="inlineStr">
        <is>
          <t>D</t>
        </is>
      </c>
      <c r="N130" s="2" t="inlineStr">
        <is>
          <t>L</t>
        </is>
      </c>
      <c r="O130" s="2" t="inlineStr">
        <is>
          <t>GF</t>
        </is>
      </c>
      <c r="P130" s="2" t="inlineStr">
        <is>
          <t>GA</t>
        </is>
      </c>
      <c r="Q130" s="2" t="inlineStr">
        <is>
          <t>GD</t>
        </is>
      </c>
      <c r="R130" s="2" t="inlineStr">
        <is>
          <t>Pts</t>
        </is>
      </c>
    </row>
    <row r="131" ht="17" customHeight="1">
      <c r="I131" s="3" t="inlineStr"/>
      <c r="J131" s="4" t="inlineStr">
        <is>
          <t>France</t>
        </is>
      </c>
      <c r="K131" s="5">
        <f>IF(AND(D137&lt;&gt;"",E137&lt;&gt;""),1,0)+IF(AND(D139&lt;&gt;"",E139&lt;&gt;""),1,0)+IF(AND(D141&lt;&gt;"",E141&lt;&gt;""),1,0)</f>
        <v/>
      </c>
      <c r="L131" s="5">
        <f>IF(AND(D137&lt;&gt;"",E137&lt;&gt;"",D137&gt;E137),1,0)+IF(AND(D139&lt;&gt;"",E139&lt;&gt;"",D139&gt;E139),1,0)+IF(AND(D141&lt;&gt;"",E141&lt;&gt;"",E141&gt;D141),1,0)</f>
        <v/>
      </c>
      <c r="M131" s="5">
        <f>IF(AND(D137&lt;&gt;"",E137&lt;&gt;"",D137=E137),1,0)+IF(AND(D139&lt;&gt;"",E139&lt;&gt;"",D139=E139),1,0)+IF(AND(D141&lt;&gt;"",E141&lt;&gt;"",D141=E141),1,0)</f>
        <v/>
      </c>
      <c r="N131" s="5">
        <f>IF(AND(D137&lt;&gt;"",E137&lt;&gt;"",D137&lt;E137),1,0)+IF(AND(D139&lt;&gt;"",E139&lt;&gt;"",D139&lt;E139),1,0)+IF(AND(D141&lt;&gt;"",E141&lt;&gt;"",E141&lt;D141),1,0)</f>
        <v/>
      </c>
      <c r="O131" s="5">
        <f>IF(AND(D137&lt;&gt;"",E137&lt;&gt;""),D137,0)+IF(AND(D139&lt;&gt;"",E139&lt;&gt;""),D139,0)+IF(AND(D141&lt;&gt;"",E141&lt;&gt;""),E141,0)</f>
        <v/>
      </c>
      <c r="P131" s="5">
        <f>IF(AND(D137&lt;&gt;"",E137&lt;&gt;""),E137,0)+IF(AND(D139&lt;&gt;"",E139&lt;&gt;""),E139,0)+IF(AND(D141&lt;&gt;"",E141&lt;&gt;""),D141,0)</f>
        <v/>
      </c>
      <c r="Q131" s="5">
        <f>O131-P131</f>
        <v/>
      </c>
      <c r="R131" s="5">
        <f>3*L131+M131</f>
        <v/>
      </c>
      <c r="S131">
        <f>R131*10000000+(Q131+99)*100000+O131*100+4</f>
        <v/>
      </c>
    </row>
    <row r="132" ht="17" customHeight="1">
      <c r="I132" s="3" t="inlineStr"/>
      <c r="J132" s="4" t="inlineStr">
        <is>
          <t>Senegal</t>
        </is>
      </c>
      <c r="K132" s="5">
        <f>IF(AND(D142&lt;&gt;"",E142&lt;&gt;""),1,0)+IF(AND(D137&lt;&gt;"",E137&lt;&gt;""),1,0)+IF(AND(D140&lt;&gt;"",E140&lt;&gt;""),1,0)</f>
        <v/>
      </c>
      <c r="L132" s="5">
        <f>IF(AND(D142&lt;&gt;"",E142&lt;&gt;"",D142&gt;E142),1,0)+IF(AND(D137&lt;&gt;"",E137&lt;&gt;"",E137&gt;D137),1,0)+IF(AND(D140&lt;&gt;"",E140&lt;&gt;"",E140&gt;D140),1,0)</f>
        <v/>
      </c>
      <c r="M132" s="5">
        <f>IF(AND(D142&lt;&gt;"",E142&lt;&gt;"",D142=E142),1,0)+IF(AND(D137&lt;&gt;"",E137&lt;&gt;"",D137=E137),1,0)+IF(AND(D140&lt;&gt;"",E140&lt;&gt;"",D140=E140),1,0)</f>
        <v/>
      </c>
      <c r="N132" s="5">
        <f>IF(AND(D142&lt;&gt;"",E142&lt;&gt;"",D142&lt;E142),1,0)+IF(AND(D137&lt;&gt;"",E137&lt;&gt;"",E137&lt;D137),1,0)+IF(AND(D140&lt;&gt;"",E140&lt;&gt;"",E140&lt;D140),1,0)</f>
        <v/>
      </c>
      <c r="O132" s="5">
        <f>IF(AND(D142&lt;&gt;"",E142&lt;&gt;""),D142,0)+IF(AND(D137&lt;&gt;"",E137&lt;&gt;""),E137,0)+IF(AND(D140&lt;&gt;"",E140&lt;&gt;""),E140,0)</f>
        <v/>
      </c>
      <c r="P132" s="5">
        <f>IF(AND(D142&lt;&gt;"",E142&lt;&gt;""),E142,0)+IF(AND(D137&lt;&gt;"",E137&lt;&gt;""),D137,0)+IF(AND(D140&lt;&gt;"",E140&lt;&gt;""),D140,0)</f>
        <v/>
      </c>
      <c r="Q132" s="5">
        <f>O132-P132</f>
        <v/>
      </c>
      <c r="R132" s="5">
        <f>3*L132+M132</f>
        <v/>
      </c>
      <c r="S132">
        <f>R132*10000000+(Q132+99)*100000+O132*100+3</f>
        <v/>
      </c>
    </row>
    <row r="133" ht="17" customHeight="1">
      <c r="I133" s="3" t="inlineStr"/>
      <c r="J133" s="4" t="inlineStr">
        <is>
          <t>Norway</t>
        </is>
      </c>
      <c r="K133" s="5">
        <f>IF(AND(D140&lt;&gt;"",E140&lt;&gt;""),1,0)+IF(AND(D141&lt;&gt;"",E141&lt;&gt;""),1,0)+IF(AND(D138&lt;&gt;"",E138&lt;&gt;""),1,0)</f>
        <v/>
      </c>
      <c r="L133" s="5">
        <f>IF(AND(D140&lt;&gt;"",E140&lt;&gt;"",D140&gt;E140),1,0)+IF(AND(D141&lt;&gt;"",E141&lt;&gt;"",D141&gt;E141),1,0)+IF(AND(D138&lt;&gt;"",E138&lt;&gt;"",E138&gt;D138),1,0)</f>
        <v/>
      </c>
      <c r="M133" s="5">
        <f>IF(AND(D140&lt;&gt;"",E140&lt;&gt;"",D140=E140),1,0)+IF(AND(D141&lt;&gt;"",E141&lt;&gt;"",D141=E141),1,0)+IF(AND(D138&lt;&gt;"",E138&lt;&gt;"",D138=E138),1,0)</f>
        <v/>
      </c>
      <c r="N133" s="5">
        <f>IF(AND(D140&lt;&gt;"",E140&lt;&gt;"",D140&lt;E140),1,0)+IF(AND(D141&lt;&gt;"",E141&lt;&gt;"",D141&lt;E141),1,0)+IF(AND(D138&lt;&gt;"",E138&lt;&gt;"",E138&lt;D138),1,0)</f>
        <v/>
      </c>
      <c r="O133" s="5">
        <f>IF(AND(D140&lt;&gt;"",E140&lt;&gt;""),D140,0)+IF(AND(D141&lt;&gt;"",E141&lt;&gt;""),D141,0)+IF(AND(D138&lt;&gt;"",E138&lt;&gt;""),E138,0)</f>
        <v/>
      </c>
      <c r="P133" s="5">
        <f>IF(AND(D140&lt;&gt;"",E140&lt;&gt;""),E140,0)+IF(AND(D141&lt;&gt;"",E141&lt;&gt;""),E141,0)+IF(AND(D138&lt;&gt;"",E138&lt;&gt;""),D138,0)</f>
        <v/>
      </c>
      <c r="Q133" s="5">
        <f>O133-P133</f>
        <v/>
      </c>
      <c r="R133" s="5">
        <f>3*L133+M133</f>
        <v/>
      </c>
      <c r="S133">
        <f>R133*10000000+(Q133+99)*100000+O133*100+2</f>
        <v/>
      </c>
    </row>
    <row r="134" ht="17" customHeight="1">
      <c r="I134" s="3" t="inlineStr"/>
      <c r="J134" s="4" t="inlineStr">
        <is>
          <t>Iraq</t>
        </is>
      </c>
      <c r="K134" s="5">
        <f>IF(AND(D138&lt;&gt;"",E138&lt;&gt;""),1,0)+IF(AND(D139&lt;&gt;"",E139&lt;&gt;""),1,0)+IF(AND(D142&lt;&gt;"",E142&lt;&gt;""),1,0)</f>
        <v/>
      </c>
      <c r="L134" s="5">
        <f>IF(AND(D138&lt;&gt;"",E138&lt;&gt;"",D138&gt;E138),1,0)+IF(AND(D139&lt;&gt;"",E139&lt;&gt;"",E139&gt;D139),1,0)+IF(AND(D142&lt;&gt;"",E142&lt;&gt;"",E142&gt;D142),1,0)</f>
        <v/>
      </c>
      <c r="M134" s="5">
        <f>IF(AND(D138&lt;&gt;"",E138&lt;&gt;"",D138=E138),1,0)+IF(AND(D139&lt;&gt;"",E139&lt;&gt;"",D139=E139),1,0)+IF(AND(D142&lt;&gt;"",E142&lt;&gt;"",D142=E142),1,0)</f>
        <v/>
      </c>
      <c r="N134" s="5">
        <f>IF(AND(D138&lt;&gt;"",E138&lt;&gt;"",D138&lt;E138),1,0)+IF(AND(D139&lt;&gt;"",E139&lt;&gt;"",E139&lt;D139),1,0)+IF(AND(D142&lt;&gt;"",E142&lt;&gt;"",E142&lt;D142),1,0)</f>
        <v/>
      </c>
      <c r="O134" s="5">
        <f>IF(AND(D138&lt;&gt;"",E138&lt;&gt;""),D138,0)+IF(AND(D139&lt;&gt;"",E139&lt;&gt;""),E139,0)+IF(AND(D142&lt;&gt;"",E142&lt;&gt;""),E142,0)</f>
        <v/>
      </c>
      <c r="P134" s="5">
        <f>IF(AND(D138&lt;&gt;"",E138&lt;&gt;""),E138,0)+IF(AND(D139&lt;&gt;"",E139&lt;&gt;""),D139,0)+IF(AND(D142&lt;&gt;"",E142&lt;&gt;""),D142,0)</f>
        <v/>
      </c>
      <c r="Q134" s="5">
        <f>O134-P134</f>
        <v/>
      </c>
      <c r="R134" s="5">
        <f>3*L134+M134</f>
        <v/>
      </c>
      <c r="S134">
        <f>R134*10000000+(Q134+99)*100000+O134*100+1</f>
        <v/>
      </c>
    </row>
    <row r="136" ht="16" customHeight="1">
      <c r="A136" s="6" t="inlineStr">
        <is>
          <t>MD</t>
        </is>
      </c>
      <c r="B136" s="6" t="inlineStr">
        <is>
          <t>Date / Time (ET)</t>
        </is>
      </c>
      <c r="C136" s="6" t="inlineStr">
        <is>
          <t>Home Team</t>
        </is>
      </c>
      <c r="D136" s="6" t="inlineStr">
        <is>
          <t>G</t>
        </is>
      </c>
      <c r="E136" s="6" t="inlineStr">
        <is>
          <t>G</t>
        </is>
      </c>
      <c r="F136" s="6" t="inlineStr">
        <is>
          <t>Away Team</t>
        </is>
      </c>
      <c r="G136" s="6" t="inlineStr">
        <is>
          <t>Venue</t>
        </is>
      </c>
    </row>
    <row r="137" ht="20" customHeight="1">
      <c r="A137" s="7" t="n">
        <v>1</v>
      </c>
      <c r="B137" s="8" t="inlineStr">
        <is>
          <t>Jun 16 · 3 pm ET</t>
        </is>
      </c>
      <c r="C137" s="9" t="inlineStr">
        <is>
          <t>France</t>
        </is>
      </c>
      <c r="D137" s="10" t="n"/>
      <c r="E137" s="10" t="n"/>
      <c r="F137" s="9" t="inlineStr">
        <is>
          <t>Senegal</t>
        </is>
      </c>
      <c r="G137" s="11" t="inlineStr">
        <is>
          <t>New York/NJ</t>
        </is>
      </c>
    </row>
    <row r="138" ht="20" customHeight="1">
      <c r="A138" s="7" t="n">
        <v>1</v>
      </c>
      <c r="B138" s="8" t="inlineStr">
        <is>
          <t>Jun 16 · 6 pm ET</t>
        </is>
      </c>
      <c r="C138" s="9" t="inlineStr">
        <is>
          <t>Iraq</t>
        </is>
      </c>
      <c r="D138" s="10" t="n"/>
      <c r="E138" s="10" t="n"/>
      <c r="F138" s="9" t="inlineStr">
        <is>
          <t>Norway</t>
        </is>
      </c>
      <c r="G138" s="11" t="inlineStr">
        <is>
          <t>Boston</t>
        </is>
      </c>
    </row>
    <row r="139" ht="20" customHeight="1">
      <c r="A139" s="7" t="n">
        <v>2</v>
      </c>
      <c r="B139" s="8" t="inlineStr">
        <is>
          <t>Jun 22 · 5 pm ET</t>
        </is>
      </c>
      <c r="C139" s="9" t="inlineStr">
        <is>
          <t>France</t>
        </is>
      </c>
      <c r="D139" s="10" t="n"/>
      <c r="E139" s="10" t="n"/>
      <c r="F139" s="9" t="inlineStr">
        <is>
          <t>Iraq</t>
        </is>
      </c>
      <c r="G139" s="11" t="inlineStr">
        <is>
          <t>Philadelphia</t>
        </is>
      </c>
    </row>
    <row r="140" ht="20" customHeight="1">
      <c r="A140" s="7" t="n">
        <v>2</v>
      </c>
      <c r="B140" s="8" t="inlineStr">
        <is>
          <t>Jun 22 · 8 pm ET</t>
        </is>
      </c>
      <c r="C140" s="9" t="inlineStr">
        <is>
          <t>Norway</t>
        </is>
      </c>
      <c r="D140" s="10" t="n"/>
      <c r="E140" s="10" t="n"/>
      <c r="F140" s="9" t="inlineStr">
        <is>
          <t>Senegal</t>
        </is>
      </c>
      <c r="G140" s="11" t="inlineStr">
        <is>
          <t>New York/NJ</t>
        </is>
      </c>
    </row>
    <row r="141" ht="20" customHeight="1">
      <c r="A141" s="7" t="n">
        <v>3</v>
      </c>
      <c r="B141" s="8" t="inlineStr">
        <is>
          <t>Jun 26 · 3 pm ET</t>
        </is>
      </c>
      <c r="C141" s="9" t="inlineStr">
        <is>
          <t>Norway</t>
        </is>
      </c>
      <c r="D141" s="10" t="n"/>
      <c r="E141" s="10" t="n"/>
      <c r="F141" s="9" t="inlineStr">
        <is>
          <t>France</t>
        </is>
      </c>
      <c r="G141" s="11" t="inlineStr">
        <is>
          <t>Boston</t>
        </is>
      </c>
    </row>
    <row r="142" ht="20" customHeight="1">
      <c r="A142" s="7" t="n">
        <v>3</v>
      </c>
      <c r="B142" s="8" t="inlineStr">
        <is>
          <t>Jun 26 · 3 pm ET</t>
        </is>
      </c>
      <c r="C142" s="9" t="inlineStr">
        <is>
          <t>Senegal</t>
        </is>
      </c>
      <c r="D142" s="10" t="n"/>
      <c r="E142" s="10" t="n"/>
      <c r="F142" s="9" t="inlineStr">
        <is>
          <t>Iraq</t>
        </is>
      </c>
      <c r="G142" s="11" t="inlineStr">
        <is>
          <t>Toronto</t>
        </is>
      </c>
    </row>
    <row r="145" ht="24" customHeight="1">
      <c r="A145" s="12" t="inlineStr">
        <is>
          <t xml:space="preserve">  GROUP J</t>
        </is>
      </c>
    </row>
    <row r="146" ht="16" customHeight="1">
      <c r="I146" s="2" t="inlineStr">
        <is>
          <t>#</t>
        </is>
      </c>
      <c r="J146" s="2" t="inlineStr">
        <is>
          <t>Team</t>
        </is>
      </c>
      <c r="K146" s="2" t="inlineStr">
        <is>
          <t>GP</t>
        </is>
      </c>
      <c r="L146" s="2" t="inlineStr">
        <is>
          <t>W</t>
        </is>
      </c>
      <c r="M146" s="2" t="inlineStr">
        <is>
          <t>D</t>
        </is>
      </c>
      <c r="N146" s="2" t="inlineStr">
        <is>
          <t>L</t>
        </is>
      </c>
      <c r="O146" s="2" t="inlineStr">
        <is>
          <t>GF</t>
        </is>
      </c>
      <c r="P146" s="2" t="inlineStr">
        <is>
          <t>GA</t>
        </is>
      </c>
      <c r="Q146" s="2" t="inlineStr">
        <is>
          <t>GD</t>
        </is>
      </c>
      <c r="R146" s="2" t="inlineStr">
        <is>
          <t>Pts</t>
        </is>
      </c>
    </row>
    <row r="147" ht="17" customHeight="1">
      <c r="I147" s="3" t="inlineStr"/>
      <c r="J147" s="4" t="inlineStr">
        <is>
          <t>Argentina</t>
        </is>
      </c>
      <c r="K147" s="5">
        <f>IF(AND(D153&lt;&gt;"",E153&lt;&gt;""),1,0)+IF(AND(D155&lt;&gt;"",E155&lt;&gt;""),1,0)+IF(AND(D158&lt;&gt;"",E158&lt;&gt;""),1,0)</f>
        <v/>
      </c>
      <c r="L147" s="5">
        <f>IF(AND(D153&lt;&gt;"",E153&lt;&gt;"",D153&gt;E153),1,0)+IF(AND(D155&lt;&gt;"",E155&lt;&gt;"",D155&gt;E155),1,0)+IF(AND(D158&lt;&gt;"",E158&lt;&gt;"",E158&gt;D158),1,0)</f>
        <v/>
      </c>
      <c r="M147" s="5">
        <f>IF(AND(D153&lt;&gt;"",E153&lt;&gt;"",D153=E153),1,0)+IF(AND(D155&lt;&gt;"",E155&lt;&gt;"",D155=E155),1,0)+IF(AND(D158&lt;&gt;"",E158&lt;&gt;"",D158=E158),1,0)</f>
        <v/>
      </c>
      <c r="N147" s="5">
        <f>IF(AND(D153&lt;&gt;"",E153&lt;&gt;"",D153&lt;E153),1,0)+IF(AND(D155&lt;&gt;"",E155&lt;&gt;"",D155&lt;E155),1,0)+IF(AND(D158&lt;&gt;"",E158&lt;&gt;"",E158&lt;D158),1,0)</f>
        <v/>
      </c>
      <c r="O147" s="5">
        <f>IF(AND(D153&lt;&gt;"",E153&lt;&gt;""),D153,0)+IF(AND(D155&lt;&gt;"",E155&lt;&gt;""),D155,0)+IF(AND(D158&lt;&gt;"",E158&lt;&gt;""),E158,0)</f>
        <v/>
      </c>
      <c r="P147" s="5">
        <f>IF(AND(D153&lt;&gt;"",E153&lt;&gt;""),E153,0)+IF(AND(D155&lt;&gt;"",E155&lt;&gt;""),E155,0)+IF(AND(D158&lt;&gt;"",E158&lt;&gt;""),D158,0)</f>
        <v/>
      </c>
      <c r="Q147" s="5">
        <f>O147-P147</f>
        <v/>
      </c>
      <c r="R147" s="5">
        <f>3*L147+M147</f>
        <v/>
      </c>
      <c r="S147">
        <f>R147*10000000+(Q147+99)*100000+O147*100+4</f>
        <v/>
      </c>
    </row>
    <row r="148" ht="17" customHeight="1">
      <c r="I148" s="3" t="inlineStr"/>
      <c r="J148" s="4" t="inlineStr">
        <is>
          <t>Algeria</t>
        </is>
      </c>
      <c r="K148" s="5">
        <f>IF(AND(D157&lt;&gt;"",E157&lt;&gt;""),1,0)+IF(AND(D153&lt;&gt;"",E153&lt;&gt;""),1,0)+IF(AND(D156&lt;&gt;"",E156&lt;&gt;""),1,0)</f>
        <v/>
      </c>
      <c r="L148" s="5">
        <f>IF(AND(D157&lt;&gt;"",E157&lt;&gt;"",D157&gt;E157),1,0)+IF(AND(D153&lt;&gt;"",E153&lt;&gt;"",E153&gt;D153),1,0)+IF(AND(D156&lt;&gt;"",E156&lt;&gt;"",E156&gt;D156),1,0)</f>
        <v/>
      </c>
      <c r="M148" s="5">
        <f>IF(AND(D157&lt;&gt;"",E157&lt;&gt;"",D157=E157),1,0)+IF(AND(D153&lt;&gt;"",E153&lt;&gt;"",D153=E153),1,0)+IF(AND(D156&lt;&gt;"",E156&lt;&gt;"",D156=E156),1,0)</f>
        <v/>
      </c>
      <c r="N148" s="5">
        <f>IF(AND(D157&lt;&gt;"",E157&lt;&gt;"",D157&lt;E157),1,0)+IF(AND(D153&lt;&gt;"",E153&lt;&gt;"",E153&lt;D153),1,0)+IF(AND(D156&lt;&gt;"",E156&lt;&gt;"",E156&lt;D156),1,0)</f>
        <v/>
      </c>
      <c r="O148" s="5">
        <f>IF(AND(D157&lt;&gt;"",E157&lt;&gt;""),D157,0)+IF(AND(D153&lt;&gt;"",E153&lt;&gt;""),E153,0)+IF(AND(D156&lt;&gt;"",E156&lt;&gt;""),E156,0)</f>
        <v/>
      </c>
      <c r="P148" s="5">
        <f>IF(AND(D157&lt;&gt;"",E157&lt;&gt;""),E157,0)+IF(AND(D153&lt;&gt;"",E153&lt;&gt;""),D153,0)+IF(AND(D156&lt;&gt;"",E156&lt;&gt;""),D156,0)</f>
        <v/>
      </c>
      <c r="Q148" s="5">
        <f>O148-P148</f>
        <v/>
      </c>
      <c r="R148" s="5">
        <f>3*L148+M148</f>
        <v/>
      </c>
      <c r="S148">
        <f>R148*10000000+(Q148+99)*100000+O148*100+3</f>
        <v/>
      </c>
    </row>
    <row r="149" ht="17" customHeight="1">
      <c r="I149" s="3" t="inlineStr"/>
      <c r="J149" s="4" t="inlineStr">
        <is>
          <t>Austria</t>
        </is>
      </c>
      <c r="K149" s="5">
        <f>IF(AND(D154&lt;&gt;"",E154&lt;&gt;""),1,0)+IF(AND(D155&lt;&gt;"",E155&lt;&gt;""),1,0)+IF(AND(D157&lt;&gt;"",E157&lt;&gt;""),1,0)</f>
        <v/>
      </c>
      <c r="L149" s="5">
        <f>IF(AND(D154&lt;&gt;"",E154&lt;&gt;"",D154&gt;E154),1,0)+IF(AND(D155&lt;&gt;"",E155&lt;&gt;"",E155&gt;D155),1,0)+IF(AND(D157&lt;&gt;"",E157&lt;&gt;"",E157&gt;D157),1,0)</f>
        <v/>
      </c>
      <c r="M149" s="5">
        <f>IF(AND(D154&lt;&gt;"",E154&lt;&gt;"",D154=E154),1,0)+IF(AND(D155&lt;&gt;"",E155&lt;&gt;"",D155=E155),1,0)+IF(AND(D157&lt;&gt;"",E157&lt;&gt;"",D157=E157),1,0)</f>
        <v/>
      </c>
      <c r="N149" s="5">
        <f>IF(AND(D154&lt;&gt;"",E154&lt;&gt;"",D154&lt;E154),1,0)+IF(AND(D155&lt;&gt;"",E155&lt;&gt;"",E155&lt;D155),1,0)+IF(AND(D157&lt;&gt;"",E157&lt;&gt;"",E157&lt;D157),1,0)</f>
        <v/>
      </c>
      <c r="O149" s="5">
        <f>IF(AND(D154&lt;&gt;"",E154&lt;&gt;""),D154,0)+IF(AND(D155&lt;&gt;"",E155&lt;&gt;""),E155,0)+IF(AND(D157&lt;&gt;"",E157&lt;&gt;""),E157,0)</f>
        <v/>
      </c>
      <c r="P149" s="5">
        <f>IF(AND(D154&lt;&gt;"",E154&lt;&gt;""),E154,0)+IF(AND(D155&lt;&gt;"",E155&lt;&gt;""),D155,0)+IF(AND(D157&lt;&gt;"",E157&lt;&gt;""),D157,0)</f>
        <v/>
      </c>
      <c r="Q149" s="5">
        <f>O149-P149</f>
        <v/>
      </c>
      <c r="R149" s="5">
        <f>3*L149+M149</f>
        <v/>
      </c>
      <c r="S149">
        <f>R149*10000000+(Q149+99)*100000+O149*100+2</f>
        <v/>
      </c>
    </row>
    <row r="150" ht="17" customHeight="1">
      <c r="I150" s="3" t="inlineStr"/>
      <c r="J150" s="4" t="inlineStr">
        <is>
          <t>Jordan</t>
        </is>
      </c>
      <c r="K150" s="5">
        <f>IF(AND(D156&lt;&gt;"",E156&lt;&gt;""),1,0)+IF(AND(D158&lt;&gt;"",E158&lt;&gt;""),1,0)+IF(AND(D154&lt;&gt;"",E154&lt;&gt;""),1,0)</f>
        <v/>
      </c>
      <c r="L150" s="5">
        <f>IF(AND(D156&lt;&gt;"",E156&lt;&gt;"",D156&gt;E156),1,0)+IF(AND(D158&lt;&gt;"",E158&lt;&gt;"",D158&gt;E158),1,0)+IF(AND(D154&lt;&gt;"",E154&lt;&gt;"",E154&gt;D154),1,0)</f>
        <v/>
      </c>
      <c r="M150" s="5">
        <f>IF(AND(D156&lt;&gt;"",E156&lt;&gt;"",D156=E156),1,0)+IF(AND(D158&lt;&gt;"",E158&lt;&gt;"",D158=E158),1,0)+IF(AND(D154&lt;&gt;"",E154&lt;&gt;"",D154=E154),1,0)</f>
        <v/>
      </c>
      <c r="N150" s="5">
        <f>IF(AND(D156&lt;&gt;"",E156&lt;&gt;"",D156&lt;E156),1,0)+IF(AND(D158&lt;&gt;"",E158&lt;&gt;"",D158&lt;E158),1,0)+IF(AND(D154&lt;&gt;"",E154&lt;&gt;"",E154&lt;D154),1,0)</f>
        <v/>
      </c>
      <c r="O150" s="5">
        <f>IF(AND(D156&lt;&gt;"",E156&lt;&gt;""),D156,0)+IF(AND(D158&lt;&gt;"",E158&lt;&gt;""),D158,0)+IF(AND(D154&lt;&gt;"",E154&lt;&gt;""),E154,0)</f>
        <v/>
      </c>
      <c r="P150" s="5">
        <f>IF(AND(D156&lt;&gt;"",E156&lt;&gt;""),E156,0)+IF(AND(D158&lt;&gt;"",E158&lt;&gt;""),E158,0)+IF(AND(D154&lt;&gt;"",E154&lt;&gt;""),D154,0)</f>
        <v/>
      </c>
      <c r="Q150" s="5">
        <f>O150-P150</f>
        <v/>
      </c>
      <c r="R150" s="5">
        <f>3*L150+M150</f>
        <v/>
      </c>
      <c r="S150">
        <f>R150*10000000+(Q150+99)*100000+O150*100+1</f>
        <v/>
      </c>
    </row>
    <row r="152" ht="16" customHeight="1">
      <c r="A152" s="6" t="inlineStr">
        <is>
          <t>MD</t>
        </is>
      </c>
      <c r="B152" s="6" t="inlineStr">
        <is>
          <t>Date / Time (ET)</t>
        </is>
      </c>
      <c r="C152" s="6" t="inlineStr">
        <is>
          <t>Home Team</t>
        </is>
      </c>
      <c r="D152" s="6" t="inlineStr">
        <is>
          <t>G</t>
        </is>
      </c>
      <c r="E152" s="6" t="inlineStr">
        <is>
          <t>G</t>
        </is>
      </c>
      <c r="F152" s="6" t="inlineStr">
        <is>
          <t>Away Team</t>
        </is>
      </c>
      <c r="G152" s="6" t="inlineStr">
        <is>
          <t>Venue</t>
        </is>
      </c>
    </row>
    <row r="153" ht="20" customHeight="1">
      <c r="A153" s="7" t="n">
        <v>1</v>
      </c>
      <c r="B153" s="8" t="inlineStr">
        <is>
          <t>Jun 16 · 9 pm ET</t>
        </is>
      </c>
      <c r="C153" s="9" t="inlineStr">
        <is>
          <t>Argentina</t>
        </is>
      </c>
      <c r="D153" s="10" t="n"/>
      <c r="E153" s="10" t="n"/>
      <c r="F153" s="9" t="inlineStr">
        <is>
          <t>Algeria</t>
        </is>
      </c>
      <c r="G153" s="11" t="inlineStr">
        <is>
          <t>Kansas City</t>
        </is>
      </c>
    </row>
    <row r="154" ht="20" customHeight="1">
      <c r="A154" s="7" t="n">
        <v>1</v>
      </c>
      <c r="B154" s="8" t="inlineStr">
        <is>
          <t>Jun 16 · 12 am ET</t>
        </is>
      </c>
      <c r="C154" s="9" t="inlineStr">
        <is>
          <t>Austria</t>
        </is>
      </c>
      <c r="D154" s="10" t="n"/>
      <c r="E154" s="10" t="n"/>
      <c r="F154" s="9" t="inlineStr">
        <is>
          <t>Jordan</t>
        </is>
      </c>
      <c r="G154" s="11" t="inlineStr">
        <is>
          <t>San Francisco</t>
        </is>
      </c>
    </row>
    <row r="155" ht="20" customHeight="1">
      <c r="A155" s="7" t="n">
        <v>2</v>
      </c>
      <c r="B155" s="8" t="inlineStr">
        <is>
          <t>Jun 22 · 1 pm ET</t>
        </is>
      </c>
      <c r="C155" s="9" t="inlineStr">
        <is>
          <t>Argentina</t>
        </is>
      </c>
      <c r="D155" s="10" t="n"/>
      <c r="E155" s="10" t="n"/>
      <c r="F155" s="9" t="inlineStr">
        <is>
          <t>Austria</t>
        </is>
      </c>
      <c r="G155" s="11" t="inlineStr">
        <is>
          <t>Dallas</t>
        </is>
      </c>
    </row>
    <row r="156" ht="20" customHeight="1">
      <c r="A156" s="7" t="n">
        <v>2</v>
      </c>
      <c r="B156" s="8" t="inlineStr">
        <is>
          <t>Jun 22 · 11 pm ET</t>
        </is>
      </c>
      <c r="C156" s="9" t="inlineStr">
        <is>
          <t>Jordan</t>
        </is>
      </c>
      <c r="D156" s="10" t="n"/>
      <c r="E156" s="10" t="n"/>
      <c r="F156" s="9" t="inlineStr">
        <is>
          <t>Algeria</t>
        </is>
      </c>
      <c r="G156" s="11" t="inlineStr">
        <is>
          <t>San Francisco</t>
        </is>
      </c>
    </row>
    <row r="157" ht="20" customHeight="1">
      <c r="A157" s="7" t="n">
        <v>3</v>
      </c>
      <c r="B157" s="8" t="inlineStr">
        <is>
          <t>Jun 27 · 10 pm ET</t>
        </is>
      </c>
      <c r="C157" s="9" t="inlineStr">
        <is>
          <t>Algeria</t>
        </is>
      </c>
      <c r="D157" s="10" t="n"/>
      <c r="E157" s="10" t="n"/>
      <c r="F157" s="9" t="inlineStr">
        <is>
          <t>Austria</t>
        </is>
      </c>
      <c r="G157" s="11" t="inlineStr">
        <is>
          <t>Kansas City</t>
        </is>
      </c>
    </row>
    <row r="158" ht="20" customHeight="1">
      <c r="A158" s="7" t="n">
        <v>3</v>
      </c>
      <c r="B158" s="8" t="inlineStr">
        <is>
          <t>Jun 27 · 10 pm ET</t>
        </is>
      </c>
      <c r="C158" s="9" t="inlineStr">
        <is>
          <t>Jordan</t>
        </is>
      </c>
      <c r="D158" s="10" t="n"/>
      <c r="E158" s="10" t="n"/>
      <c r="F158" s="9" t="inlineStr">
        <is>
          <t>Argentina</t>
        </is>
      </c>
      <c r="G158" s="11" t="inlineStr">
        <is>
          <t>Dallas</t>
        </is>
      </c>
    </row>
    <row r="161" ht="24" customHeight="1">
      <c r="A161" s="12" t="inlineStr">
        <is>
          <t xml:space="preserve">  GROUP K</t>
        </is>
      </c>
    </row>
    <row r="162" ht="16" customHeight="1">
      <c r="I162" s="2" t="inlineStr">
        <is>
          <t>#</t>
        </is>
      </c>
      <c r="J162" s="2" t="inlineStr">
        <is>
          <t>Team</t>
        </is>
      </c>
      <c r="K162" s="2" t="inlineStr">
        <is>
          <t>GP</t>
        </is>
      </c>
      <c r="L162" s="2" t="inlineStr">
        <is>
          <t>W</t>
        </is>
      </c>
      <c r="M162" s="2" t="inlineStr">
        <is>
          <t>D</t>
        </is>
      </c>
      <c r="N162" s="2" t="inlineStr">
        <is>
          <t>L</t>
        </is>
      </c>
      <c r="O162" s="2" t="inlineStr">
        <is>
          <t>GF</t>
        </is>
      </c>
      <c r="P162" s="2" t="inlineStr">
        <is>
          <t>GA</t>
        </is>
      </c>
      <c r="Q162" s="2" t="inlineStr">
        <is>
          <t>GD</t>
        </is>
      </c>
      <c r="R162" s="2" t="inlineStr">
        <is>
          <t>Pts</t>
        </is>
      </c>
    </row>
    <row r="163" ht="17" customHeight="1">
      <c r="I163" s="3" t="inlineStr"/>
      <c r="J163" s="4" t="inlineStr">
        <is>
          <t>Portugal</t>
        </is>
      </c>
      <c r="K163" s="5">
        <f>IF(AND(D169&lt;&gt;"",E169&lt;&gt;""),1,0)+IF(AND(D171&lt;&gt;"",E171&lt;&gt;""),1,0)+IF(AND(D173&lt;&gt;"",E173&lt;&gt;""),1,0)</f>
        <v/>
      </c>
      <c r="L163" s="5">
        <f>IF(AND(D169&lt;&gt;"",E169&lt;&gt;"",D169&gt;E169),1,0)+IF(AND(D171&lt;&gt;"",E171&lt;&gt;"",D171&gt;E171),1,0)+IF(AND(D173&lt;&gt;"",E173&lt;&gt;"",E173&gt;D173),1,0)</f>
        <v/>
      </c>
      <c r="M163" s="5">
        <f>IF(AND(D169&lt;&gt;"",E169&lt;&gt;"",D169=E169),1,0)+IF(AND(D171&lt;&gt;"",E171&lt;&gt;"",D171=E171),1,0)+IF(AND(D173&lt;&gt;"",E173&lt;&gt;"",D173=E173),1,0)</f>
        <v/>
      </c>
      <c r="N163" s="5">
        <f>IF(AND(D169&lt;&gt;"",E169&lt;&gt;"",D169&lt;E169),1,0)+IF(AND(D171&lt;&gt;"",E171&lt;&gt;"",D171&lt;E171),1,0)+IF(AND(D173&lt;&gt;"",E173&lt;&gt;"",E173&lt;D173),1,0)</f>
        <v/>
      </c>
      <c r="O163" s="5">
        <f>IF(AND(D169&lt;&gt;"",E169&lt;&gt;""),D169,0)+IF(AND(D171&lt;&gt;"",E171&lt;&gt;""),D171,0)+IF(AND(D173&lt;&gt;"",E173&lt;&gt;""),E173,0)</f>
        <v/>
      </c>
      <c r="P163" s="5">
        <f>IF(AND(D169&lt;&gt;"",E169&lt;&gt;""),E169,0)+IF(AND(D171&lt;&gt;"",E171&lt;&gt;""),E171,0)+IF(AND(D173&lt;&gt;"",E173&lt;&gt;""),D173,0)</f>
        <v/>
      </c>
      <c r="Q163" s="5">
        <f>O163-P163</f>
        <v/>
      </c>
      <c r="R163" s="5">
        <f>3*L163+M163</f>
        <v/>
      </c>
      <c r="S163">
        <f>R163*10000000+(Q163+99)*100000+O163*100+4</f>
        <v/>
      </c>
    </row>
    <row r="164" ht="17" customHeight="1">
      <c r="I164" s="3" t="inlineStr"/>
      <c r="J164" s="4" t="inlineStr">
        <is>
          <t>Colombia</t>
        </is>
      </c>
      <c r="K164" s="5">
        <f>IF(AND(D173&lt;&gt;"",E173&lt;&gt;""),1,0)+IF(AND(D170&lt;&gt;"",E170&lt;&gt;""),1,0)+IF(AND(D172&lt;&gt;"",E172&lt;&gt;""),1,0)</f>
        <v/>
      </c>
      <c r="L164" s="5">
        <f>IF(AND(D173&lt;&gt;"",E173&lt;&gt;"",D173&gt;E173),1,0)+IF(AND(D170&lt;&gt;"",E170&lt;&gt;"",E170&gt;D170),1,0)+IF(AND(D172&lt;&gt;"",E172&lt;&gt;"",E172&gt;D172),1,0)</f>
        <v/>
      </c>
      <c r="M164" s="5">
        <f>IF(AND(D173&lt;&gt;"",E173&lt;&gt;"",D173=E173),1,0)+IF(AND(D170&lt;&gt;"",E170&lt;&gt;"",D170=E170),1,0)+IF(AND(D172&lt;&gt;"",E172&lt;&gt;"",D172=E172),1,0)</f>
        <v/>
      </c>
      <c r="N164" s="5">
        <f>IF(AND(D173&lt;&gt;"",E173&lt;&gt;"",D173&lt;E173),1,0)+IF(AND(D170&lt;&gt;"",E170&lt;&gt;"",E170&lt;D170),1,0)+IF(AND(D172&lt;&gt;"",E172&lt;&gt;"",E172&lt;D172),1,0)</f>
        <v/>
      </c>
      <c r="O164" s="5">
        <f>IF(AND(D173&lt;&gt;"",E173&lt;&gt;""),D173,0)+IF(AND(D170&lt;&gt;"",E170&lt;&gt;""),E170,0)+IF(AND(D172&lt;&gt;"",E172&lt;&gt;""),E172,0)</f>
        <v/>
      </c>
      <c r="P164" s="5">
        <f>IF(AND(D173&lt;&gt;"",E173&lt;&gt;""),E173,0)+IF(AND(D170&lt;&gt;"",E170&lt;&gt;""),D170,0)+IF(AND(D172&lt;&gt;"",E172&lt;&gt;""),D172,0)</f>
        <v/>
      </c>
      <c r="Q164" s="5">
        <f>O164-P164</f>
        <v/>
      </c>
      <c r="R164" s="5">
        <f>3*L164+M164</f>
        <v/>
      </c>
      <c r="S164">
        <f>R164*10000000+(Q164+99)*100000+O164*100+3</f>
        <v/>
      </c>
    </row>
    <row r="165" ht="17" customHeight="1">
      <c r="I165" s="3" t="inlineStr"/>
      <c r="J165" s="4" t="inlineStr">
        <is>
          <t>Uzbekistan</t>
        </is>
      </c>
      <c r="K165" s="5">
        <f>IF(AND(D170&lt;&gt;"",E170&lt;&gt;""),1,0)+IF(AND(D171&lt;&gt;"",E171&lt;&gt;""),1,0)+IF(AND(D174&lt;&gt;"",E174&lt;&gt;""),1,0)</f>
        <v/>
      </c>
      <c r="L165" s="5">
        <f>IF(AND(D170&lt;&gt;"",E170&lt;&gt;"",D170&gt;E170),1,0)+IF(AND(D171&lt;&gt;"",E171&lt;&gt;"",E171&gt;D171),1,0)+IF(AND(D174&lt;&gt;"",E174&lt;&gt;"",E174&gt;D174),1,0)</f>
        <v/>
      </c>
      <c r="M165" s="5">
        <f>IF(AND(D170&lt;&gt;"",E170&lt;&gt;"",D170=E170),1,0)+IF(AND(D171&lt;&gt;"",E171&lt;&gt;"",D171=E171),1,0)+IF(AND(D174&lt;&gt;"",E174&lt;&gt;"",D174=E174),1,0)</f>
        <v/>
      </c>
      <c r="N165" s="5">
        <f>IF(AND(D170&lt;&gt;"",E170&lt;&gt;"",D170&lt;E170),1,0)+IF(AND(D171&lt;&gt;"",E171&lt;&gt;"",E171&lt;D171),1,0)+IF(AND(D174&lt;&gt;"",E174&lt;&gt;"",E174&lt;D174),1,0)</f>
        <v/>
      </c>
      <c r="O165" s="5">
        <f>IF(AND(D170&lt;&gt;"",E170&lt;&gt;""),D170,0)+IF(AND(D171&lt;&gt;"",E171&lt;&gt;""),E171,0)+IF(AND(D174&lt;&gt;"",E174&lt;&gt;""),E174,0)</f>
        <v/>
      </c>
      <c r="P165" s="5">
        <f>IF(AND(D170&lt;&gt;"",E170&lt;&gt;""),E170,0)+IF(AND(D171&lt;&gt;"",E171&lt;&gt;""),D171,0)+IF(AND(D174&lt;&gt;"",E174&lt;&gt;""),D174,0)</f>
        <v/>
      </c>
      <c r="Q165" s="5">
        <f>O165-P165</f>
        <v/>
      </c>
      <c r="R165" s="5">
        <f>3*L165+M165</f>
        <v/>
      </c>
      <c r="S165">
        <f>R165*10000000+(Q165+99)*100000+O165*100+2</f>
        <v/>
      </c>
    </row>
    <row r="166" ht="17" customHeight="1">
      <c r="I166" s="3" t="inlineStr"/>
      <c r="J166" s="4" t="inlineStr">
        <is>
          <t>DR Congo</t>
        </is>
      </c>
      <c r="K166" s="5">
        <f>IF(AND(D172&lt;&gt;"",E172&lt;&gt;""),1,0)+IF(AND(D174&lt;&gt;"",E174&lt;&gt;""),1,0)+IF(AND(D169&lt;&gt;"",E169&lt;&gt;""),1,0)</f>
        <v/>
      </c>
      <c r="L166" s="5">
        <f>IF(AND(D172&lt;&gt;"",E172&lt;&gt;"",D172&gt;E172),1,0)+IF(AND(D174&lt;&gt;"",E174&lt;&gt;"",D174&gt;E174),1,0)+IF(AND(D169&lt;&gt;"",E169&lt;&gt;"",E169&gt;D169),1,0)</f>
        <v/>
      </c>
      <c r="M166" s="5">
        <f>IF(AND(D172&lt;&gt;"",E172&lt;&gt;"",D172=E172),1,0)+IF(AND(D174&lt;&gt;"",E174&lt;&gt;"",D174=E174),1,0)+IF(AND(D169&lt;&gt;"",E169&lt;&gt;"",D169=E169),1,0)</f>
        <v/>
      </c>
      <c r="N166" s="5">
        <f>IF(AND(D172&lt;&gt;"",E172&lt;&gt;"",D172&lt;E172),1,0)+IF(AND(D174&lt;&gt;"",E174&lt;&gt;"",D174&lt;E174),1,0)+IF(AND(D169&lt;&gt;"",E169&lt;&gt;"",E169&lt;D169),1,0)</f>
        <v/>
      </c>
      <c r="O166" s="5">
        <f>IF(AND(D172&lt;&gt;"",E172&lt;&gt;""),D172,0)+IF(AND(D174&lt;&gt;"",E174&lt;&gt;""),D174,0)+IF(AND(D169&lt;&gt;"",E169&lt;&gt;""),E169,0)</f>
        <v/>
      </c>
      <c r="P166" s="5">
        <f>IF(AND(D172&lt;&gt;"",E172&lt;&gt;""),E172,0)+IF(AND(D174&lt;&gt;"",E174&lt;&gt;""),E174,0)+IF(AND(D169&lt;&gt;"",E169&lt;&gt;""),D169,0)</f>
        <v/>
      </c>
      <c r="Q166" s="5">
        <f>O166-P166</f>
        <v/>
      </c>
      <c r="R166" s="5">
        <f>3*L166+M166</f>
        <v/>
      </c>
      <c r="S166">
        <f>R166*10000000+(Q166+99)*100000+O166*100+1</f>
        <v/>
      </c>
    </row>
    <row r="168" ht="16" customHeight="1">
      <c r="A168" s="6" t="inlineStr">
        <is>
          <t>MD</t>
        </is>
      </c>
      <c r="B168" s="6" t="inlineStr">
        <is>
          <t>Date / Time (ET)</t>
        </is>
      </c>
      <c r="C168" s="6" t="inlineStr">
        <is>
          <t>Home Team</t>
        </is>
      </c>
      <c r="D168" s="6" t="inlineStr">
        <is>
          <t>G</t>
        </is>
      </c>
      <c r="E168" s="6" t="inlineStr">
        <is>
          <t>G</t>
        </is>
      </c>
      <c r="F168" s="6" t="inlineStr">
        <is>
          <t>Away Team</t>
        </is>
      </c>
      <c r="G168" s="6" t="inlineStr">
        <is>
          <t>Venue</t>
        </is>
      </c>
    </row>
    <row r="169" ht="20" customHeight="1">
      <c r="A169" s="7" t="n">
        <v>1</v>
      </c>
      <c r="B169" s="8" t="inlineStr">
        <is>
          <t>Jun 17 · 1 pm ET</t>
        </is>
      </c>
      <c r="C169" s="9" t="inlineStr">
        <is>
          <t>Portugal</t>
        </is>
      </c>
      <c r="D169" s="10" t="n"/>
      <c r="E169" s="10" t="n"/>
      <c r="F169" s="9" t="inlineStr">
        <is>
          <t>DR Congo</t>
        </is>
      </c>
      <c r="G169" s="11" t="inlineStr">
        <is>
          <t>Houston</t>
        </is>
      </c>
    </row>
    <row r="170" ht="20" customHeight="1">
      <c r="A170" s="7" t="n">
        <v>1</v>
      </c>
      <c r="B170" s="8" t="inlineStr">
        <is>
          <t>Jun 17 · 10 pm ET</t>
        </is>
      </c>
      <c r="C170" s="9" t="inlineStr">
        <is>
          <t>Uzbekistan</t>
        </is>
      </c>
      <c r="D170" s="10" t="n"/>
      <c r="E170" s="10" t="n"/>
      <c r="F170" s="9" t="inlineStr">
        <is>
          <t>Colombia</t>
        </is>
      </c>
      <c r="G170" s="11" t="inlineStr">
        <is>
          <t>Mexico City</t>
        </is>
      </c>
    </row>
    <row r="171" ht="20" customHeight="1">
      <c r="A171" s="7" t="n">
        <v>2</v>
      </c>
      <c r="B171" s="8" t="inlineStr">
        <is>
          <t>Jun 23 · 1 pm ET</t>
        </is>
      </c>
      <c r="C171" s="9" t="inlineStr">
        <is>
          <t>Portugal</t>
        </is>
      </c>
      <c r="D171" s="10" t="n"/>
      <c r="E171" s="10" t="n"/>
      <c r="F171" s="9" t="inlineStr">
        <is>
          <t>Uzbekistan</t>
        </is>
      </c>
      <c r="G171" s="11" t="inlineStr">
        <is>
          <t>Houston</t>
        </is>
      </c>
    </row>
    <row r="172" ht="20" customHeight="1">
      <c r="A172" s="7" t="n">
        <v>2</v>
      </c>
      <c r="B172" s="8" t="inlineStr">
        <is>
          <t>Jun 23 · 10 pm ET</t>
        </is>
      </c>
      <c r="C172" s="9" t="inlineStr">
        <is>
          <t>DR Congo</t>
        </is>
      </c>
      <c r="D172" s="10" t="n"/>
      <c r="E172" s="10" t="n"/>
      <c r="F172" s="9" t="inlineStr">
        <is>
          <t>Colombia</t>
        </is>
      </c>
      <c r="G172" s="11" t="inlineStr">
        <is>
          <t>Guadalajara</t>
        </is>
      </c>
    </row>
    <row r="173" ht="20" customHeight="1">
      <c r="A173" s="7" t="n">
        <v>3</v>
      </c>
      <c r="B173" s="8" t="inlineStr">
        <is>
          <t>Jun 27 · 7:30 pm ET</t>
        </is>
      </c>
      <c r="C173" s="9" t="inlineStr">
        <is>
          <t>Colombia</t>
        </is>
      </c>
      <c r="D173" s="10" t="n"/>
      <c r="E173" s="10" t="n"/>
      <c r="F173" s="9" t="inlineStr">
        <is>
          <t>Portugal</t>
        </is>
      </c>
      <c r="G173" s="11" t="inlineStr">
        <is>
          <t>Miami</t>
        </is>
      </c>
    </row>
    <row r="174" ht="20" customHeight="1">
      <c r="A174" s="7" t="n">
        <v>3</v>
      </c>
      <c r="B174" s="8" t="inlineStr">
        <is>
          <t>Jun 27 · 7:30 pm ET</t>
        </is>
      </c>
      <c r="C174" s="9" t="inlineStr">
        <is>
          <t>DR Congo</t>
        </is>
      </c>
      <c r="D174" s="10" t="n"/>
      <c r="E174" s="10" t="n"/>
      <c r="F174" s="9" t="inlineStr">
        <is>
          <t>Uzbekistan</t>
        </is>
      </c>
      <c r="G174" s="11" t="inlineStr">
        <is>
          <t>Atlanta</t>
        </is>
      </c>
    </row>
    <row r="177" ht="24" customHeight="1">
      <c r="A177" s="12" t="inlineStr">
        <is>
          <t xml:space="preserve">  GROUP L</t>
        </is>
      </c>
    </row>
    <row r="178" ht="16" customHeight="1">
      <c r="I178" s="2" t="inlineStr">
        <is>
          <t>#</t>
        </is>
      </c>
      <c r="J178" s="2" t="inlineStr">
        <is>
          <t>Team</t>
        </is>
      </c>
      <c r="K178" s="2" t="inlineStr">
        <is>
          <t>GP</t>
        </is>
      </c>
      <c r="L178" s="2" t="inlineStr">
        <is>
          <t>W</t>
        </is>
      </c>
      <c r="M178" s="2" t="inlineStr">
        <is>
          <t>D</t>
        </is>
      </c>
      <c r="N178" s="2" t="inlineStr">
        <is>
          <t>L</t>
        </is>
      </c>
      <c r="O178" s="2" t="inlineStr">
        <is>
          <t>GF</t>
        </is>
      </c>
      <c r="P178" s="2" t="inlineStr">
        <is>
          <t>GA</t>
        </is>
      </c>
      <c r="Q178" s="2" t="inlineStr">
        <is>
          <t>GD</t>
        </is>
      </c>
      <c r="R178" s="2" t="inlineStr">
        <is>
          <t>Pts</t>
        </is>
      </c>
    </row>
    <row r="179" ht="17" customHeight="1">
      <c r="I179" s="3" t="inlineStr"/>
      <c r="J179" s="4" t="inlineStr">
        <is>
          <t>England</t>
        </is>
      </c>
      <c r="K179" s="5">
        <f>IF(AND(D185&lt;&gt;"",E185&lt;&gt;""),1,0)+IF(AND(D187&lt;&gt;"",E187&lt;&gt;""),1,0)+IF(AND(D189&lt;&gt;"",E189&lt;&gt;""),1,0)</f>
        <v/>
      </c>
      <c r="L179" s="5">
        <f>IF(AND(D185&lt;&gt;"",E185&lt;&gt;"",D185&gt;E185),1,0)+IF(AND(D187&lt;&gt;"",E187&lt;&gt;"",D187&gt;E187),1,0)+IF(AND(D189&lt;&gt;"",E189&lt;&gt;"",E189&gt;D189),1,0)</f>
        <v/>
      </c>
      <c r="M179" s="5">
        <f>IF(AND(D185&lt;&gt;"",E185&lt;&gt;"",D185=E185),1,0)+IF(AND(D187&lt;&gt;"",E187&lt;&gt;"",D187=E187),1,0)+IF(AND(D189&lt;&gt;"",E189&lt;&gt;"",D189=E189),1,0)</f>
        <v/>
      </c>
      <c r="N179" s="5">
        <f>IF(AND(D185&lt;&gt;"",E185&lt;&gt;"",D185&lt;E185),1,0)+IF(AND(D187&lt;&gt;"",E187&lt;&gt;"",D187&lt;E187),1,0)+IF(AND(D189&lt;&gt;"",E189&lt;&gt;"",E189&lt;D189),1,0)</f>
        <v/>
      </c>
      <c r="O179" s="5">
        <f>IF(AND(D185&lt;&gt;"",E185&lt;&gt;""),D185,0)+IF(AND(D187&lt;&gt;"",E187&lt;&gt;""),D187,0)+IF(AND(D189&lt;&gt;"",E189&lt;&gt;""),E189,0)</f>
        <v/>
      </c>
      <c r="P179" s="5">
        <f>IF(AND(D185&lt;&gt;"",E185&lt;&gt;""),E185,0)+IF(AND(D187&lt;&gt;"",E187&lt;&gt;""),E187,0)+IF(AND(D189&lt;&gt;"",E189&lt;&gt;""),D189,0)</f>
        <v/>
      </c>
      <c r="Q179" s="5">
        <f>O179-P179</f>
        <v/>
      </c>
      <c r="R179" s="5">
        <f>3*L179+M179</f>
        <v/>
      </c>
      <c r="S179">
        <f>R179*10000000+(Q179+99)*100000+O179*100+4</f>
        <v/>
      </c>
    </row>
    <row r="180" ht="17" customHeight="1">
      <c r="I180" s="3" t="inlineStr"/>
      <c r="J180" s="4" t="inlineStr">
        <is>
          <t>Croatia</t>
        </is>
      </c>
      <c r="K180" s="5">
        <f>IF(AND(D190&lt;&gt;"",E190&lt;&gt;""),1,0)+IF(AND(D185&lt;&gt;"",E185&lt;&gt;""),1,0)+IF(AND(D188&lt;&gt;"",E188&lt;&gt;""),1,0)</f>
        <v/>
      </c>
      <c r="L180" s="5">
        <f>IF(AND(D190&lt;&gt;"",E190&lt;&gt;"",D190&gt;E190),1,0)+IF(AND(D185&lt;&gt;"",E185&lt;&gt;"",E185&gt;D185),1,0)+IF(AND(D188&lt;&gt;"",E188&lt;&gt;"",E188&gt;D188),1,0)</f>
        <v/>
      </c>
      <c r="M180" s="5">
        <f>IF(AND(D190&lt;&gt;"",E190&lt;&gt;"",D190=E190),1,0)+IF(AND(D185&lt;&gt;"",E185&lt;&gt;"",D185=E185),1,0)+IF(AND(D188&lt;&gt;"",E188&lt;&gt;"",D188=E188),1,0)</f>
        <v/>
      </c>
      <c r="N180" s="5">
        <f>IF(AND(D190&lt;&gt;"",E190&lt;&gt;"",D190&lt;E190),1,0)+IF(AND(D185&lt;&gt;"",E185&lt;&gt;"",E185&lt;D185),1,0)+IF(AND(D188&lt;&gt;"",E188&lt;&gt;"",E188&lt;D188),1,0)</f>
        <v/>
      </c>
      <c r="O180" s="5">
        <f>IF(AND(D190&lt;&gt;"",E190&lt;&gt;""),D190,0)+IF(AND(D185&lt;&gt;"",E185&lt;&gt;""),E185,0)+IF(AND(D188&lt;&gt;"",E188&lt;&gt;""),E188,0)</f>
        <v/>
      </c>
      <c r="P180" s="5">
        <f>IF(AND(D190&lt;&gt;"",E190&lt;&gt;""),E190,0)+IF(AND(D185&lt;&gt;"",E185&lt;&gt;""),D185,0)+IF(AND(D188&lt;&gt;"",E188&lt;&gt;""),D188,0)</f>
        <v/>
      </c>
      <c r="Q180" s="5">
        <f>O180-P180</f>
        <v/>
      </c>
      <c r="R180" s="5">
        <f>3*L180+M180</f>
        <v/>
      </c>
      <c r="S180">
        <f>R180*10000000+(Q180+99)*100000+O180*100+3</f>
        <v/>
      </c>
    </row>
    <row r="181" ht="17" customHeight="1">
      <c r="I181" s="3" t="inlineStr"/>
      <c r="J181" s="4" t="inlineStr">
        <is>
          <t>Panama</t>
        </is>
      </c>
      <c r="K181" s="5">
        <f>IF(AND(D188&lt;&gt;"",E188&lt;&gt;""),1,0)+IF(AND(D189&lt;&gt;"",E189&lt;&gt;""),1,0)+IF(AND(D186&lt;&gt;"",E186&lt;&gt;""),1,0)</f>
        <v/>
      </c>
      <c r="L181" s="5">
        <f>IF(AND(D188&lt;&gt;"",E188&lt;&gt;"",D188&gt;E188),1,0)+IF(AND(D189&lt;&gt;"",E189&lt;&gt;"",D189&gt;E189),1,0)+IF(AND(D186&lt;&gt;"",E186&lt;&gt;"",E186&gt;D186),1,0)</f>
        <v/>
      </c>
      <c r="M181" s="5">
        <f>IF(AND(D188&lt;&gt;"",E188&lt;&gt;"",D188=E188),1,0)+IF(AND(D189&lt;&gt;"",E189&lt;&gt;"",D189=E189),1,0)+IF(AND(D186&lt;&gt;"",E186&lt;&gt;"",D186=E186),1,0)</f>
        <v/>
      </c>
      <c r="N181" s="5">
        <f>IF(AND(D188&lt;&gt;"",E188&lt;&gt;"",D188&lt;E188),1,0)+IF(AND(D189&lt;&gt;"",E189&lt;&gt;"",D189&lt;E189),1,0)+IF(AND(D186&lt;&gt;"",E186&lt;&gt;"",E186&lt;D186),1,0)</f>
        <v/>
      </c>
      <c r="O181" s="5">
        <f>IF(AND(D188&lt;&gt;"",E188&lt;&gt;""),D188,0)+IF(AND(D189&lt;&gt;"",E189&lt;&gt;""),D189,0)+IF(AND(D186&lt;&gt;"",E186&lt;&gt;""),E186,0)</f>
        <v/>
      </c>
      <c r="P181" s="5">
        <f>IF(AND(D188&lt;&gt;"",E188&lt;&gt;""),E188,0)+IF(AND(D189&lt;&gt;"",E189&lt;&gt;""),E189,0)+IF(AND(D186&lt;&gt;"",E186&lt;&gt;""),D186,0)</f>
        <v/>
      </c>
      <c r="Q181" s="5">
        <f>O181-P181</f>
        <v/>
      </c>
      <c r="R181" s="5">
        <f>3*L181+M181</f>
        <v/>
      </c>
      <c r="S181">
        <f>R181*10000000+(Q181+99)*100000+O181*100+2</f>
        <v/>
      </c>
    </row>
    <row r="182" ht="17" customHeight="1">
      <c r="I182" s="3" t="inlineStr"/>
      <c r="J182" s="4" t="inlineStr">
        <is>
          <t>Ghana</t>
        </is>
      </c>
      <c r="K182" s="5">
        <f>IF(AND(D186&lt;&gt;"",E186&lt;&gt;""),1,0)+IF(AND(D187&lt;&gt;"",E187&lt;&gt;""),1,0)+IF(AND(D190&lt;&gt;"",E190&lt;&gt;""),1,0)</f>
        <v/>
      </c>
      <c r="L182" s="5">
        <f>IF(AND(D186&lt;&gt;"",E186&lt;&gt;"",D186&gt;E186),1,0)+IF(AND(D187&lt;&gt;"",E187&lt;&gt;"",E187&gt;D187),1,0)+IF(AND(D190&lt;&gt;"",E190&lt;&gt;"",E190&gt;D190),1,0)</f>
        <v/>
      </c>
      <c r="M182" s="5">
        <f>IF(AND(D186&lt;&gt;"",E186&lt;&gt;"",D186=E186),1,0)+IF(AND(D187&lt;&gt;"",E187&lt;&gt;"",D187=E187),1,0)+IF(AND(D190&lt;&gt;"",E190&lt;&gt;"",D190=E190),1,0)</f>
        <v/>
      </c>
      <c r="N182" s="5">
        <f>IF(AND(D186&lt;&gt;"",E186&lt;&gt;"",D186&lt;E186),1,0)+IF(AND(D187&lt;&gt;"",E187&lt;&gt;"",E187&lt;D187),1,0)+IF(AND(D190&lt;&gt;"",E190&lt;&gt;"",E190&lt;D190),1,0)</f>
        <v/>
      </c>
      <c r="O182" s="5">
        <f>IF(AND(D186&lt;&gt;"",E186&lt;&gt;""),D186,0)+IF(AND(D187&lt;&gt;"",E187&lt;&gt;""),E187,0)+IF(AND(D190&lt;&gt;"",E190&lt;&gt;""),E190,0)</f>
        <v/>
      </c>
      <c r="P182" s="5">
        <f>IF(AND(D186&lt;&gt;"",E186&lt;&gt;""),E186,0)+IF(AND(D187&lt;&gt;"",E187&lt;&gt;""),D187,0)+IF(AND(D190&lt;&gt;"",E190&lt;&gt;""),D190,0)</f>
        <v/>
      </c>
      <c r="Q182" s="5">
        <f>O182-P182</f>
        <v/>
      </c>
      <c r="R182" s="5">
        <f>3*L182+M182</f>
        <v/>
      </c>
      <c r="S182">
        <f>R182*10000000+(Q182+99)*100000+O182*100+1</f>
        <v/>
      </c>
    </row>
    <row r="184" ht="16" customHeight="1">
      <c r="A184" s="6" t="inlineStr">
        <is>
          <t>MD</t>
        </is>
      </c>
      <c r="B184" s="6" t="inlineStr">
        <is>
          <t>Date / Time (ET)</t>
        </is>
      </c>
      <c r="C184" s="6" t="inlineStr">
        <is>
          <t>Home Team</t>
        </is>
      </c>
      <c r="D184" s="6" t="inlineStr">
        <is>
          <t>G</t>
        </is>
      </c>
      <c r="E184" s="6" t="inlineStr">
        <is>
          <t>G</t>
        </is>
      </c>
      <c r="F184" s="6" t="inlineStr">
        <is>
          <t>Away Team</t>
        </is>
      </c>
      <c r="G184" s="6" t="inlineStr">
        <is>
          <t>Venue</t>
        </is>
      </c>
    </row>
    <row r="185" ht="20" customHeight="1">
      <c r="A185" s="7" t="n">
        <v>1</v>
      </c>
      <c r="B185" s="8" t="inlineStr">
        <is>
          <t>Jun 17 · 4 pm ET</t>
        </is>
      </c>
      <c r="C185" s="9" t="inlineStr">
        <is>
          <t>England</t>
        </is>
      </c>
      <c r="D185" s="10" t="n"/>
      <c r="E185" s="10" t="n"/>
      <c r="F185" s="9" t="inlineStr">
        <is>
          <t>Croatia</t>
        </is>
      </c>
      <c r="G185" s="11" t="inlineStr">
        <is>
          <t>Dallas</t>
        </is>
      </c>
    </row>
    <row r="186" ht="20" customHeight="1">
      <c r="A186" s="7" t="n">
        <v>1</v>
      </c>
      <c r="B186" s="8" t="inlineStr">
        <is>
          <t>Jun 17 · 7 pm ET</t>
        </is>
      </c>
      <c r="C186" s="9" t="inlineStr">
        <is>
          <t>Ghana</t>
        </is>
      </c>
      <c r="D186" s="10" t="n"/>
      <c r="E186" s="10" t="n"/>
      <c r="F186" s="9" t="inlineStr">
        <is>
          <t>Panama</t>
        </is>
      </c>
      <c r="G186" s="11" t="inlineStr">
        <is>
          <t>Toronto</t>
        </is>
      </c>
    </row>
    <row r="187" ht="20" customHeight="1">
      <c r="A187" s="7" t="n">
        <v>2</v>
      </c>
      <c r="B187" s="8" t="inlineStr">
        <is>
          <t>Jun 23 · 4 pm ET</t>
        </is>
      </c>
      <c r="C187" s="9" t="inlineStr">
        <is>
          <t>England</t>
        </is>
      </c>
      <c r="D187" s="10" t="n"/>
      <c r="E187" s="10" t="n"/>
      <c r="F187" s="9" t="inlineStr">
        <is>
          <t>Ghana</t>
        </is>
      </c>
      <c r="G187" s="11" t="inlineStr">
        <is>
          <t>Boston</t>
        </is>
      </c>
    </row>
    <row r="188" ht="20" customHeight="1">
      <c r="A188" s="7" t="n">
        <v>2</v>
      </c>
      <c r="B188" s="8" t="inlineStr">
        <is>
          <t>Jun 23 · 7 pm ET</t>
        </is>
      </c>
      <c r="C188" s="9" t="inlineStr">
        <is>
          <t>Panama</t>
        </is>
      </c>
      <c r="D188" s="10" t="n"/>
      <c r="E188" s="10" t="n"/>
      <c r="F188" s="9" t="inlineStr">
        <is>
          <t>Croatia</t>
        </is>
      </c>
      <c r="G188" s="11" t="inlineStr">
        <is>
          <t>Toronto</t>
        </is>
      </c>
    </row>
    <row r="189" ht="20" customHeight="1">
      <c r="A189" s="7" t="n">
        <v>3</v>
      </c>
      <c r="B189" s="8" t="inlineStr">
        <is>
          <t>Jun 27 · 5 pm ET</t>
        </is>
      </c>
      <c r="C189" s="9" t="inlineStr">
        <is>
          <t>Panama</t>
        </is>
      </c>
      <c r="D189" s="10" t="n"/>
      <c r="E189" s="10" t="n"/>
      <c r="F189" s="9" t="inlineStr">
        <is>
          <t>England</t>
        </is>
      </c>
      <c r="G189" s="11" t="inlineStr">
        <is>
          <t>New York/NJ</t>
        </is>
      </c>
    </row>
    <row r="190" ht="20" customHeight="1">
      <c r="A190" s="7" t="n">
        <v>3</v>
      </c>
      <c r="B190" s="8" t="inlineStr">
        <is>
          <t>Jun 27 · 5 pm ET</t>
        </is>
      </c>
      <c r="C190" s="9" t="inlineStr">
        <is>
          <t>Croatia</t>
        </is>
      </c>
      <c r="D190" s="10" t="n"/>
      <c r="E190" s="10" t="n"/>
      <c r="F190" s="9" t="inlineStr">
        <is>
          <t>Ghana</t>
        </is>
      </c>
      <c r="G190" s="11" t="inlineStr">
        <is>
          <t>Philadelphia</t>
        </is>
      </c>
    </row>
    <row r="193" ht="18" customHeight="1">
      <c r="A193" s="13" t="inlineStr">
        <is>
          <t xml:space="preserve">  LEGEND</t>
        </is>
      </c>
    </row>
    <row r="194" ht="16" customHeight="1">
      <c r="A194" s="14" t="inlineStr">
        <is>
          <t xml:space="preserve">  ✅  1st &amp; 2nd place — qualify automatically to Round of 32</t>
        </is>
      </c>
    </row>
    <row r="195" ht="16" customHeight="1">
      <c r="A195" s="15" t="inlineStr">
        <is>
          <t xml:space="preserve">  ⚠️   3rd place — may qualify as one of the 8 best third-place finishers</t>
        </is>
      </c>
    </row>
    <row r="196" ht="16" customHeight="1">
      <c r="A196" s="16" t="inlineStr">
        <is>
          <t xml:space="preserve">  ❌  4th place — eliminated</t>
        </is>
      </c>
    </row>
    <row r="197" ht="16" customHeight="1">
      <c r="A197" s="17" t="inlineStr">
        <is>
          <t xml:space="preserve">  ✏️   Yellow cell — enter number of goals scored (integer ≥ 0)</t>
        </is>
      </c>
    </row>
  </sheetData>
  <mergeCells count="17">
    <mergeCell ref="A65:S65"/>
    <mergeCell ref="A81:S81"/>
    <mergeCell ref="A113:S113"/>
    <mergeCell ref="A33:S33"/>
    <mergeCell ref="A49:S49"/>
    <mergeCell ref="A129:S129"/>
    <mergeCell ref="A161:S161"/>
    <mergeCell ref="A177:S177"/>
    <mergeCell ref="A193:G193"/>
    <mergeCell ref="A197:G197"/>
    <mergeCell ref="A1:S1"/>
    <mergeCell ref="A17:S17"/>
    <mergeCell ref="A97:S97"/>
    <mergeCell ref="A196:G196"/>
    <mergeCell ref="A195:G195"/>
    <mergeCell ref="A145:S145"/>
    <mergeCell ref="A194:G194"/>
  </mergeCells>
  <conditionalFormatting sqref="I3:R6">
    <cfRule type="expression" priority="1" dxfId="0">
      <formula>RANK($R3,$R$3:$R$6,0)=1</formula>
    </cfRule>
    <cfRule type="expression" priority="2" dxfId="1">
      <formula>RANK($R3,$R$3:$R$6,0)=2</formula>
    </cfRule>
    <cfRule type="expression" priority="3" dxfId="2">
      <formula>RANK($R3,$R$3:$R$6,0)=3</formula>
    </cfRule>
    <cfRule type="expression" priority="4" dxfId="3">
      <formula>RANK($R3,$R$3:$R$6,0)=4</formula>
    </cfRule>
  </conditionalFormatting>
  <conditionalFormatting sqref="I19:R22">
    <cfRule type="expression" priority="5" dxfId="0">
      <formula>RANK($R19,$R$19:$R$22,0)=1</formula>
    </cfRule>
    <cfRule type="expression" priority="6" dxfId="1">
      <formula>RANK($R19,$R$19:$R$22,0)=2</formula>
    </cfRule>
    <cfRule type="expression" priority="7" dxfId="2">
      <formula>RANK($R19,$R$19:$R$22,0)=3</formula>
    </cfRule>
    <cfRule type="expression" priority="8" dxfId="3">
      <formula>RANK($R19,$R$19:$R$22,0)=4</formula>
    </cfRule>
  </conditionalFormatting>
  <conditionalFormatting sqref="I35:R38">
    <cfRule type="expression" priority="9" dxfId="0">
      <formula>RANK($R35,$R$35:$R$38,0)=1</formula>
    </cfRule>
    <cfRule type="expression" priority="10" dxfId="1">
      <formula>RANK($R35,$R$35:$R$38,0)=2</formula>
    </cfRule>
    <cfRule type="expression" priority="11" dxfId="2">
      <formula>RANK($R35,$R$35:$R$38,0)=3</formula>
    </cfRule>
    <cfRule type="expression" priority="12" dxfId="3">
      <formula>RANK($R35,$R$35:$R$38,0)=4</formula>
    </cfRule>
  </conditionalFormatting>
  <conditionalFormatting sqref="I51:R54">
    <cfRule type="expression" priority="13" dxfId="0">
      <formula>RANK($R51,$R$51:$R$54,0)=1</formula>
    </cfRule>
    <cfRule type="expression" priority="14" dxfId="1">
      <formula>RANK($R51,$R$51:$R$54,0)=2</formula>
    </cfRule>
    <cfRule type="expression" priority="15" dxfId="2">
      <formula>RANK($R51,$R$51:$R$54,0)=3</formula>
    </cfRule>
    <cfRule type="expression" priority="16" dxfId="3">
      <formula>RANK($R51,$R$51:$R$54,0)=4</formula>
    </cfRule>
  </conditionalFormatting>
  <conditionalFormatting sqref="I67:R70">
    <cfRule type="expression" priority="17" dxfId="0">
      <formula>RANK($R67,$R$67:$R$70,0)=1</formula>
    </cfRule>
    <cfRule type="expression" priority="18" dxfId="1">
      <formula>RANK($R67,$R$67:$R$70,0)=2</formula>
    </cfRule>
    <cfRule type="expression" priority="19" dxfId="2">
      <formula>RANK($R67,$R$67:$R$70,0)=3</formula>
    </cfRule>
    <cfRule type="expression" priority="20" dxfId="3">
      <formula>RANK($R67,$R$67:$R$70,0)=4</formula>
    </cfRule>
  </conditionalFormatting>
  <conditionalFormatting sqref="I83:R86">
    <cfRule type="expression" priority="21" dxfId="0">
      <formula>RANK($R83,$R$83:$R$86,0)=1</formula>
    </cfRule>
    <cfRule type="expression" priority="22" dxfId="1">
      <formula>RANK($R83,$R$83:$R$86,0)=2</formula>
    </cfRule>
    <cfRule type="expression" priority="23" dxfId="2">
      <formula>RANK($R83,$R$83:$R$86,0)=3</formula>
    </cfRule>
    <cfRule type="expression" priority="24" dxfId="3">
      <formula>RANK($R83,$R$83:$R$86,0)=4</formula>
    </cfRule>
  </conditionalFormatting>
  <conditionalFormatting sqref="I99:R102">
    <cfRule type="expression" priority="25" dxfId="0">
      <formula>RANK($R99,$R$99:$R$102,0)=1</formula>
    </cfRule>
    <cfRule type="expression" priority="26" dxfId="1">
      <formula>RANK($R99,$R$99:$R$102,0)=2</formula>
    </cfRule>
    <cfRule type="expression" priority="27" dxfId="2">
      <formula>RANK($R99,$R$99:$R$102,0)=3</formula>
    </cfRule>
    <cfRule type="expression" priority="28" dxfId="3">
      <formula>RANK($R99,$R$99:$R$102,0)=4</formula>
    </cfRule>
  </conditionalFormatting>
  <conditionalFormatting sqref="I115:R118">
    <cfRule type="expression" priority="29" dxfId="0">
      <formula>RANK($R115,$R$115:$R$118,0)=1</formula>
    </cfRule>
    <cfRule type="expression" priority="30" dxfId="1">
      <formula>RANK($R115,$R$115:$R$118,0)=2</formula>
    </cfRule>
    <cfRule type="expression" priority="31" dxfId="2">
      <formula>RANK($R115,$R$115:$R$118,0)=3</formula>
    </cfRule>
    <cfRule type="expression" priority="32" dxfId="3">
      <formula>RANK($R115,$R$115:$R$118,0)=4</formula>
    </cfRule>
  </conditionalFormatting>
  <conditionalFormatting sqref="I131:R134">
    <cfRule type="expression" priority="33" dxfId="0">
      <formula>RANK($R131,$R$131:$R$134,0)=1</formula>
    </cfRule>
    <cfRule type="expression" priority="34" dxfId="1">
      <formula>RANK($R131,$R$131:$R$134,0)=2</formula>
    </cfRule>
    <cfRule type="expression" priority="35" dxfId="2">
      <formula>RANK($R131,$R$131:$R$134,0)=3</formula>
    </cfRule>
    <cfRule type="expression" priority="36" dxfId="3">
      <formula>RANK($R131,$R$131:$R$134,0)=4</formula>
    </cfRule>
  </conditionalFormatting>
  <conditionalFormatting sqref="I147:R150">
    <cfRule type="expression" priority="37" dxfId="0">
      <formula>RANK($R147,$R$147:$R$150,0)=1</formula>
    </cfRule>
    <cfRule type="expression" priority="38" dxfId="1">
      <formula>RANK($R147,$R$147:$R$150,0)=2</formula>
    </cfRule>
    <cfRule type="expression" priority="39" dxfId="2">
      <formula>RANK($R147,$R$147:$R$150,0)=3</formula>
    </cfRule>
    <cfRule type="expression" priority="40" dxfId="3">
      <formula>RANK($R147,$R$147:$R$150,0)=4</formula>
    </cfRule>
  </conditionalFormatting>
  <conditionalFormatting sqref="I163:R166">
    <cfRule type="expression" priority="41" dxfId="0">
      <formula>RANK($R163,$R$163:$R$166,0)=1</formula>
    </cfRule>
    <cfRule type="expression" priority="42" dxfId="1">
      <formula>RANK($R163,$R$163:$R$166,0)=2</formula>
    </cfRule>
    <cfRule type="expression" priority="43" dxfId="2">
      <formula>RANK($R163,$R$163:$R$166,0)=3</formula>
    </cfRule>
    <cfRule type="expression" priority="44" dxfId="3">
      <formula>RANK($R163,$R$163:$R$166,0)=4</formula>
    </cfRule>
  </conditionalFormatting>
  <conditionalFormatting sqref="I179:R182">
    <cfRule type="expression" priority="45" dxfId="0">
      <formula>RANK($R179,$R$179:$R$182,0)=1</formula>
    </cfRule>
    <cfRule type="expression" priority="46" dxfId="1">
      <formula>RANK($R179,$R$179:$R$182,0)=2</formula>
    </cfRule>
    <cfRule type="expression" priority="47" dxfId="2">
      <formula>RANK($R179,$R$179:$R$182,0)=3</formula>
    </cfRule>
    <cfRule type="expression" priority="48" dxfId="3">
      <formula>RANK($R179,$R$179:$R$182,0)=4</formula>
    </cfRule>
  </conditionalFormatting>
  <dataValidations count="144">
    <dataValidation sqref="D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2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2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2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2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2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2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3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3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4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4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4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4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4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4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4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4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4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4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4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4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5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5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5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5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5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5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6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6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6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6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6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6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7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7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7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7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7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7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7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7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7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7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7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7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8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8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9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9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9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9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9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9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9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9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9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9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0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0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0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0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0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0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0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0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0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0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1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1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2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2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2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2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2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2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2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2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3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3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3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3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4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4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4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4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4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4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5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5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5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5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5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5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5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5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5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5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5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5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6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6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7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7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7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7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7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7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7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7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7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7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8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8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8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8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8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8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8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8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8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8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9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9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8" t="inlineStr">
        <is>
          <t xml:space="preserve">  🏟️  Clasificados · Qualified Teams</t>
        </is>
      </c>
    </row>
    <row r="2" ht="16" customHeight="1">
      <c r="A2" s="19" t="inlineStr">
        <is>
          <t xml:space="preserve">  Rankings update automatically as you enter scores in the Fase de Grupos tab.</t>
        </is>
      </c>
    </row>
    <row r="3" ht="18" customHeight="1">
      <c r="A3" s="20" t="inlineStr">
        <is>
          <t>Group</t>
        </is>
      </c>
      <c r="B3" s="20" t="inlineStr">
        <is>
          <t>1st Place ✅</t>
        </is>
      </c>
      <c r="C3" s="20" t="inlineStr">
        <is>
          <t>2nd Place ✅</t>
        </is>
      </c>
      <c r="D3" s="20" t="inlineStr">
        <is>
          <t>3rd Place ⚠️</t>
        </is>
      </c>
      <c r="E3" s="20" t="inlineStr">
        <is>
          <t>4th Place ❌</t>
        </is>
      </c>
    </row>
    <row r="4" ht="20" customHeight="1">
      <c r="A4" s="21" t="inlineStr">
        <is>
          <t>Group A</t>
        </is>
      </c>
      <c r="B4" s="22">
        <f>IFERROR(INDEX('Fase de Grupos'!$J$3:$J$6,MATCH(LARGE('Fase de Grupos'!$S$3:$S$6,1),'Fase de Grupos'!$S$3:$S$6,0)),"—")</f>
        <v/>
      </c>
      <c r="C4" s="23">
        <f>IFERROR(INDEX('Fase de Grupos'!$J$3:$J$6,MATCH(LARGE('Fase de Grupos'!$S$3:$S$6,2),'Fase de Grupos'!$S$3:$S$6,0)),"—")</f>
        <v/>
      </c>
      <c r="D4" s="24">
        <f>IFERROR(INDEX('Fase de Grupos'!$J$3:$J$6,MATCH(LARGE('Fase de Grupos'!$S$3:$S$6,3),'Fase de Grupos'!$S$3:$S$6,0)),"—")</f>
        <v/>
      </c>
      <c r="E4" s="25">
        <f>IFERROR(INDEX('Fase de Grupos'!$J$3:$J$6,MATCH(LARGE('Fase de Grupos'!$S$3:$S$6,4),'Fase de Grupos'!$S$3:$S$6,0)),"—")</f>
        <v/>
      </c>
    </row>
    <row r="5" ht="20" customHeight="1">
      <c r="A5" s="21" t="inlineStr">
        <is>
          <t>Group B</t>
        </is>
      </c>
      <c r="B5" s="22">
        <f>IFERROR(INDEX('Fase de Grupos'!$J$19:$J$22,MATCH(LARGE('Fase de Grupos'!$S$19:$S$22,1),'Fase de Grupos'!$S$19:$S$22,0)),"—")</f>
        <v/>
      </c>
      <c r="C5" s="23">
        <f>IFERROR(INDEX('Fase de Grupos'!$J$19:$J$22,MATCH(LARGE('Fase de Grupos'!$S$19:$S$22,2),'Fase de Grupos'!$S$19:$S$22,0)),"—")</f>
        <v/>
      </c>
      <c r="D5" s="24">
        <f>IFERROR(INDEX('Fase de Grupos'!$J$19:$J$22,MATCH(LARGE('Fase de Grupos'!$S$19:$S$22,3),'Fase de Grupos'!$S$19:$S$22,0)),"—")</f>
        <v/>
      </c>
      <c r="E5" s="25">
        <f>IFERROR(INDEX('Fase de Grupos'!$J$19:$J$22,MATCH(LARGE('Fase de Grupos'!$S$19:$S$22,4),'Fase de Grupos'!$S$19:$S$22,0)),"—")</f>
        <v/>
      </c>
    </row>
    <row r="6" ht="20" customHeight="1">
      <c r="A6" s="21" t="inlineStr">
        <is>
          <t>Group C</t>
        </is>
      </c>
      <c r="B6" s="22">
        <f>IFERROR(INDEX('Fase de Grupos'!$J$35:$J$38,MATCH(LARGE('Fase de Grupos'!$S$35:$S$38,1),'Fase de Grupos'!$S$35:$S$38,0)),"—")</f>
        <v/>
      </c>
      <c r="C6" s="23">
        <f>IFERROR(INDEX('Fase de Grupos'!$J$35:$J$38,MATCH(LARGE('Fase de Grupos'!$S$35:$S$38,2),'Fase de Grupos'!$S$35:$S$38,0)),"—")</f>
        <v/>
      </c>
      <c r="D6" s="24">
        <f>IFERROR(INDEX('Fase de Grupos'!$J$35:$J$38,MATCH(LARGE('Fase de Grupos'!$S$35:$S$38,3),'Fase de Grupos'!$S$35:$S$38,0)),"—")</f>
        <v/>
      </c>
      <c r="E6" s="25">
        <f>IFERROR(INDEX('Fase de Grupos'!$J$35:$J$38,MATCH(LARGE('Fase de Grupos'!$S$35:$S$38,4),'Fase de Grupos'!$S$35:$S$38,0)),"—")</f>
        <v/>
      </c>
    </row>
    <row r="7" ht="20" customHeight="1">
      <c r="A7" s="21" t="inlineStr">
        <is>
          <t>Group D</t>
        </is>
      </c>
      <c r="B7" s="22">
        <f>IFERROR(INDEX('Fase de Grupos'!$J$51:$J$54,MATCH(LARGE('Fase de Grupos'!$S$51:$S$54,1),'Fase de Grupos'!$S$51:$S$54,0)),"—")</f>
        <v/>
      </c>
      <c r="C7" s="23">
        <f>IFERROR(INDEX('Fase de Grupos'!$J$51:$J$54,MATCH(LARGE('Fase de Grupos'!$S$51:$S$54,2),'Fase de Grupos'!$S$51:$S$54,0)),"—")</f>
        <v/>
      </c>
      <c r="D7" s="24">
        <f>IFERROR(INDEX('Fase de Grupos'!$J$51:$J$54,MATCH(LARGE('Fase de Grupos'!$S$51:$S$54,3),'Fase de Grupos'!$S$51:$S$54,0)),"—")</f>
        <v/>
      </c>
      <c r="E7" s="25">
        <f>IFERROR(INDEX('Fase de Grupos'!$J$51:$J$54,MATCH(LARGE('Fase de Grupos'!$S$51:$S$54,4),'Fase de Grupos'!$S$51:$S$54,0)),"—")</f>
        <v/>
      </c>
    </row>
    <row r="8" ht="20" customHeight="1">
      <c r="A8" s="21" t="inlineStr">
        <is>
          <t>Group E</t>
        </is>
      </c>
      <c r="B8" s="22">
        <f>IFERROR(INDEX('Fase de Grupos'!$J$67:$J$70,MATCH(LARGE('Fase de Grupos'!$S$67:$S$70,1),'Fase de Grupos'!$S$67:$S$70,0)),"—")</f>
        <v/>
      </c>
      <c r="C8" s="23">
        <f>IFERROR(INDEX('Fase de Grupos'!$J$67:$J$70,MATCH(LARGE('Fase de Grupos'!$S$67:$S$70,2),'Fase de Grupos'!$S$67:$S$70,0)),"—")</f>
        <v/>
      </c>
      <c r="D8" s="24">
        <f>IFERROR(INDEX('Fase de Grupos'!$J$67:$J$70,MATCH(LARGE('Fase de Grupos'!$S$67:$S$70,3),'Fase de Grupos'!$S$67:$S$70,0)),"—")</f>
        <v/>
      </c>
      <c r="E8" s="25">
        <f>IFERROR(INDEX('Fase de Grupos'!$J$67:$J$70,MATCH(LARGE('Fase de Grupos'!$S$67:$S$70,4),'Fase de Grupos'!$S$67:$S$70,0)),"—")</f>
        <v/>
      </c>
    </row>
    <row r="9" ht="20" customHeight="1">
      <c r="A9" s="21" t="inlineStr">
        <is>
          <t>Group F</t>
        </is>
      </c>
      <c r="B9" s="22">
        <f>IFERROR(INDEX('Fase de Grupos'!$J$83:$J$86,MATCH(LARGE('Fase de Grupos'!$S$83:$S$86,1),'Fase de Grupos'!$S$83:$S$86,0)),"—")</f>
        <v/>
      </c>
      <c r="C9" s="23">
        <f>IFERROR(INDEX('Fase de Grupos'!$J$83:$J$86,MATCH(LARGE('Fase de Grupos'!$S$83:$S$86,2),'Fase de Grupos'!$S$83:$S$86,0)),"—")</f>
        <v/>
      </c>
      <c r="D9" s="24">
        <f>IFERROR(INDEX('Fase de Grupos'!$J$83:$J$86,MATCH(LARGE('Fase de Grupos'!$S$83:$S$86,3),'Fase de Grupos'!$S$83:$S$86,0)),"—")</f>
        <v/>
      </c>
      <c r="E9" s="25">
        <f>IFERROR(INDEX('Fase de Grupos'!$J$83:$J$86,MATCH(LARGE('Fase de Grupos'!$S$83:$S$86,4),'Fase de Grupos'!$S$83:$S$86,0)),"—")</f>
        <v/>
      </c>
    </row>
    <row r="10" ht="20" customHeight="1">
      <c r="A10" s="21" t="inlineStr">
        <is>
          <t>Group G</t>
        </is>
      </c>
      <c r="B10" s="22">
        <f>IFERROR(INDEX('Fase de Grupos'!$J$99:$J$102,MATCH(LARGE('Fase de Grupos'!$S$99:$S$102,1),'Fase de Grupos'!$S$99:$S$102,0)),"—")</f>
        <v/>
      </c>
      <c r="C10" s="23">
        <f>IFERROR(INDEX('Fase de Grupos'!$J$99:$J$102,MATCH(LARGE('Fase de Grupos'!$S$99:$S$102,2),'Fase de Grupos'!$S$99:$S$102,0)),"—")</f>
        <v/>
      </c>
      <c r="D10" s="24">
        <f>IFERROR(INDEX('Fase de Grupos'!$J$99:$J$102,MATCH(LARGE('Fase de Grupos'!$S$99:$S$102,3),'Fase de Grupos'!$S$99:$S$102,0)),"—")</f>
        <v/>
      </c>
      <c r="E10" s="25">
        <f>IFERROR(INDEX('Fase de Grupos'!$J$99:$J$102,MATCH(LARGE('Fase de Grupos'!$S$99:$S$102,4),'Fase de Grupos'!$S$99:$S$102,0)),"—")</f>
        <v/>
      </c>
    </row>
    <row r="11" ht="20" customHeight="1">
      <c r="A11" s="21" t="inlineStr">
        <is>
          <t>Group H</t>
        </is>
      </c>
      <c r="B11" s="22">
        <f>IFERROR(INDEX('Fase de Grupos'!$J$115:$J$118,MATCH(LARGE('Fase de Grupos'!$S$115:$S$118,1),'Fase de Grupos'!$S$115:$S$118,0)),"—")</f>
        <v/>
      </c>
      <c r="C11" s="23">
        <f>IFERROR(INDEX('Fase de Grupos'!$J$115:$J$118,MATCH(LARGE('Fase de Grupos'!$S$115:$S$118,2),'Fase de Grupos'!$S$115:$S$118,0)),"—")</f>
        <v/>
      </c>
      <c r="D11" s="24">
        <f>IFERROR(INDEX('Fase de Grupos'!$J$115:$J$118,MATCH(LARGE('Fase de Grupos'!$S$115:$S$118,3),'Fase de Grupos'!$S$115:$S$118,0)),"—")</f>
        <v/>
      </c>
      <c r="E11" s="25">
        <f>IFERROR(INDEX('Fase de Grupos'!$J$115:$J$118,MATCH(LARGE('Fase de Grupos'!$S$115:$S$118,4),'Fase de Grupos'!$S$115:$S$118,0)),"—")</f>
        <v/>
      </c>
    </row>
    <row r="12" ht="20" customHeight="1">
      <c r="A12" s="21" t="inlineStr">
        <is>
          <t>Group I</t>
        </is>
      </c>
      <c r="B12" s="22">
        <f>IFERROR(INDEX('Fase de Grupos'!$J$131:$J$134,MATCH(LARGE('Fase de Grupos'!$S$131:$S$134,1),'Fase de Grupos'!$S$131:$S$134,0)),"—")</f>
        <v/>
      </c>
      <c r="C12" s="23">
        <f>IFERROR(INDEX('Fase de Grupos'!$J$131:$J$134,MATCH(LARGE('Fase de Grupos'!$S$131:$S$134,2),'Fase de Grupos'!$S$131:$S$134,0)),"—")</f>
        <v/>
      </c>
      <c r="D12" s="24">
        <f>IFERROR(INDEX('Fase de Grupos'!$J$131:$J$134,MATCH(LARGE('Fase de Grupos'!$S$131:$S$134,3),'Fase de Grupos'!$S$131:$S$134,0)),"—")</f>
        <v/>
      </c>
      <c r="E12" s="25">
        <f>IFERROR(INDEX('Fase de Grupos'!$J$131:$J$134,MATCH(LARGE('Fase de Grupos'!$S$131:$S$134,4),'Fase de Grupos'!$S$131:$S$134,0)),"—")</f>
        <v/>
      </c>
    </row>
    <row r="13" ht="20" customHeight="1">
      <c r="A13" s="21" t="inlineStr">
        <is>
          <t>Group J</t>
        </is>
      </c>
      <c r="B13" s="22">
        <f>IFERROR(INDEX('Fase de Grupos'!$J$147:$J$150,MATCH(LARGE('Fase de Grupos'!$S$147:$S$150,1),'Fase de Grupos'!$S$147:$S$150,0)),"—")</f>
        <v/>
      </c>
      <c r="C13" s="23">
        <f>IFERROR(INDEX('Fase de Grupos'!$J$147:$J$150,MATCH(LARGE('Fase de Grupos'!$S$147:$S$150,2),'Fase de Grupos'!$S$147:$S$150,0)),"—")</f>
        <v/>
      </c>
      <c r="D13" s="24">
        <f>IFERROR(INDEX('Fase de Grupos'!$J$147:$J$150,MATCH(LARGE('Fase de Grupos'!$S$147:$S$150,3),'Fase de Grupos'!$S$147:$S$150,0)),"—")</f>
        <v/>
      </c>
      <c r="E13" s="25">
        <f>IFERROR(INDEX('Fase de Grupos'!$J$147:$J$150,MATCH(LARGE('Fase de Grupos'!$S$147:$S$150,4),'Fase de Grupos'!$S$147:$S$150,0)),"—")</f>
        <v/>
      </c>
    </row>
    <row r="14" ht="20" customHeight="1">
      <c r="A14" s="21" t="inlineStr">
        <is>
          <t>Group K</t>
        </is>
      </c>
      <c r="B14" s="22">
        <f>IFERROR(INDEX('Fase de Grupos'!$J$163:$J$166,MATCH(LARGE('Fase de Grupos'!$S$163:$S$166,1),'Fase de Grupos'!$S$163:$S$166,0)),"—")</f>
        <v/>
      </c>
      <c r="C14" s="23">
        <f>IFERROR(INDEX('Fase de Grupos'!$J$163:$J$166,MATCH(LARGE('Fase de Grupos'!$S$163:$S$166,2),'Fase de Grupos'!$S$163:$S$166,0)),"—")</f>
        <v/>
      </c>
      <c r="D14" s="24">
        <f>IFERROR(INDEX('Fase de Grupos'!$J$163:$J$166,MATCH(LARGE('Fase de Grupos'!$S$163:$S$166,3),'Fase de Grupos'!$S$163:$S$166,0)),"—")</f>
        <v/>
      </c>
      <c r="E14" s="25">
        <f>IFERROR(INDEX('Fase de Grupos'!$J$163:$J$166,MATCH(LARGE('Fase de Grupos'!$S$163:$S$166,4),'Fase de Grupos'!$S$163:$S$166,0)),"—")</f>
        <v/>
      </c>
    </row>
    <row r="15" ht="20" customHeight="1">
      <c r="A15" s="21" t="inlineStr">
        <is>
          <t>Group L</t>
        </is>
      </c>
      <c r="B15" s="22">
        <f>IFERROR(INDEX('Fase de Grupos'!$J$179:$J$182,MATCH(LARGE('Fase de Grupos'!$S$179:$S$182,1),'Fase de Grupos'!$S$179:$S$182,0)),"—")</f>
        <v/>
      </c>
      <c r="C15" s="23">
        <f>IFERROR(INDEX('Fase de Grupos'!$J$179:$J$182,MATCH(LARGE('Fase de Grupos'!$S$179:$S$182,2),'Fase de Grupos'!$S$179:$S$182,0)),"—")</f>
        <v/>
      </c>
      <c r="D15" s="24">
        <f>IFERROR(INDEX('Fase de Grupos'!$J$179:$J$182,MATCH(LARGE('Fase de Grupos'!$S$179:$S$182,3),'Fase de Grupos'!$S$179:$S$182,0)),"—")</f>
        <v/>
      </c>
      <c r="E15" s="25">
        <f>IFERROR(INDEX('Fase de Grupos'!$J$179:$J$182,MATCH(LARGE('Fase de Grupos'!$S$179:$S$182,4),'Fase de Grupos'!$S$179:$S$182,0)),"—")</f>
        <v/>
      </c>
    </row>
    <row r="17" ht="36" customHeight="1">
      <c r="A17" s="26" t="inlineStr">
        <is>
          <t xml:space="preserve">  ⚠️  The 8 best 3rd-place finishers also advance to the Round of 32. Their bracket slots are resolved automatically via the hidden Terceros sheet (FIFA Annex C, 495 combinations).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T496"/>
  <sheetViews>
    <sheetView showGridLines="0" workbookViewId="0">
      <selection activeCell="A1" sqref="A1"/>
    </sheetView>
  </sheetViews>
  <sheetFormatPr baseColWidth="8" defaultRowHeight="15"/>
  <sheetData>
    <row r="2">
      <c r="A2" t="inlineStr">
        <is>
          <t>A</t>
        </is>
      </c>
      <c r="B2">
        <f>IFERROR(INDEX('Fase de Grupos'!$J$3:$J$6,MATCH(LARGE('Fase de Grupos'!$S$3:$S$6,3),'Fase de Grupos'!$S$3:$S$6,0)),"")</f>
        <v/>
      </c>
      <c r="C2">
        <f>IFERROR(INDEX('Fase de Grupos'!$R$3:$R$6,MATCH(LARGE('Fase de Grupos'!$S$3:$S$6,3),'Fase de Grupos'!$S$3:$S$6,0)),0)</f>
        <v/>
      </c>
      <c r="D2">
        <f>IFERROR(INDEX('Fase de Grupos'!$Q$3:$Q$6,MATCH(LARGE('Fase de Grupos'!$S$3:$S$6,3),'Fase de Grupos'!$S$3:$S$6,0)),0)</f>
        <v/>
      </c>
      <c r="E2">
        <f>IFERROR(INDEX('Fase de Grupos'!$O$3:$O$6,MATCH(LARGE('Fase de Grupos'!$S$3:$S$6,3),'Fase de Grupos'!$S$3:$S$6,0)),0)</f>
        <v/>
      </c>
      <c r="F2">
        <f>$C$2*10000000+($D$2+99)*100000+$E$2*100+12</f>
        <v/>
      </c>
      <c r="G2">
        <f>RANK($F$2,$F$2:$F$13,0)</f>
        <v/>
      </c>
      <c r="H2">
        <f>IF($G$2&lt;=8,1,0)</f>
        <v/>
      </c>
      <c r="I2" t="n">
        <v>1</v>
      </c>
      <c r="J2">
        <f>$H$2*$I$2</f>
        <v/>
      </c>
      <c r="L2" t="n">
        <v>4080</v>
      </c>
      <c r="M2" t="inlineStr">
        <is>
          <t>E</t>
        </is>
      </c>
      <c r="N2" t="inlineStr">
        <is>
          <t>J</t>
        </is>
      </c>
      <c r="O2" t="inlineStr">
        <is>
          <t>I</t>
        </is>
      </c>
      <c r="P2" t="inlineStr">
        <is>
          <t>F</t>
        </is>
      </c>
      <c r="Q2" t="inlineStr">
        <is>
          <t>H</t>
        </is>
      </c>
      <c r="R2" t="inlineStr">
        <is>
          <t>G</t>
        </is>
      </c>
      <c r="S2" t="inlineStr">
        <is>
          <t>L</t>
        </is>
      </c>
      <c r="T2" t="inlineStr">
        <is>
          <t>K</t>
        </is>
      </c>
    </row>
    <row r="3">
      <c r="A3" t="inlineStr">
        <is>
          <t>B</t>
        </is>
      </c>
      <c r="B3">
        <f>IFERROR(INDEX('Fase de Grupos'!$J$19:$J$22,MATCH(LARGE('Fase de Grupos'!$S$19:$S$22,3),'Fase de Grupos'!$S$19:$S$22,0)),"")</f>
        <v/>
      </c>
      <c r="C3">
        <f>IFERROR(INDEX('Fase de Grupos'!$R$19:$R$22,MATCH(LARGE('Fase de Grupos'!$S$19:$S$22,3),'Fase de Grupos'!$S$19:$S$22,0)),0)</f>
        <v/>
      </c>
      <c r="D3">
        <f>IFERROR(INDEX('Fase de Grupos'!$Q$19:$Q$22,MATCH(LARGE('Fase de Grupos'!$S$19:$S$22,3),'Fase de Grupos'!$S$19:$S$22,0)),0)</f>
        <v/>
      </c>
      <c r="E3">
        <f>IFERROR(INDEX('Fase de Grupos'!$O$19:$O$22,MATCH(LARGE('Fase de Grupos'!$S$19:$S$22,3),'Fase de Grupos'!$S$19:$S$22,0)),0)</f>
        <v/>
      </c>
      <c r="F3">
        <f>$C$3*10000000+($D$3+99)*100000+$E$3*100+11</f>
        <v/>
      </c>
      <c r="G3">
        <f>RANK($F$3,$F$2:$F$13,0)</f>
        <v/>
      </c>
      <c r="H3">
        <f>IF($G$3&lt;=8,1,0)</f>
        <v/>
      </c>
      <c r="I3" t="n">
        <v>2</v>
      </c>
      <c r="J3">
        <f>$H$3*$I$3</f>
        <v/>
      </c>
      <c r="L3" t="n">
        <v>4072</v>
      </c>
      <c r="M3" t="inlineStr">
        <is>
          <t>H</t>
        </is>
      </c>
      <c r="N3" t="inlineStr">
        <is>
          <t>G</t>
        </is>
      </c>
      <c r="O3" t="inlineStr">
        <is>
          <t>I</t>
        </is>
      </c>
      <c r="P3" t="inlineStr">
        <is>
          <t>D</t>
        </is>
      </c>
      <c r="Q3" t="inlineStr">
        <is>
          <t>J</t>
        </is>
      </c>
      <c r="R3" t="inlineStr">
        <is>
          <t>F</t>
        </is>
      </c>
      <c r="S3" t="inlineStr">
        <is>
          <t>L</t>
        </is>
      </c>
      <c r="T3" t="inlineStr">
        <is>
          <t>K</t>
        </is>
      </c>
    </row>
    <row r="4">
      <c r="A4" t="inlineStr">
        <is>
          <t>C</t>
        </is>
      </c>
      <c r="B4">
        <f>IFERROR(INDEX('Fase de Grupos'!$J$35:$J$38,MATCH(LARGE('Fase de Grupos'!$S$35:$S$38,3),'Fase de Grupos'!$S$35:$S$38,0)),"")</f>
        <v/>
      </c>
      <c r="C4">
        <f>IFERROR(INDEX('Fase de Grupos'!$R$35:$R$38,MATCH(LARGE('Fase de Grupos'!$S$35:$S$38,3),'Fase de Grupos'!$S$35:$S$38,0)),0)</f>
        <v/>
      </c>
      <c r="D4">
        <f>IFERROR(INDEX('Fase de Grupos'!$Q$35:$Q$38,MATCH(LARGE('Fase de Grupos'!$S$35:$S$38,3),'Fase de Grupos'!$S$35:$S$38,0)),0)</f>
        <v/>
      </c>
      <c r="E4">
        <f>IFERROR(INDEX('Fase de Grupos'!$O$35:$O$38,MATCH(LARGE('Fase de Grupos'!$S$35:$S$38,3),'Fase de Grupos'!$S$35:$S$38,0)),0)</f>
        <v/>
      </c>
      <c r="F4">
        <f>$C$4*10000000+($D$4+99)*100000+$E$4*100+10</f>
        <v/>
      </c>
      <c r="G4">
        <f>RANK($F$4,$F$2:$F$13,0)</f>
        <v/>
      </c>
      <c r="H4">
        <f>IF($G$4&lt;=8,1,0)</f>
        <v/>
      </c>
      <c r="I4" t="n">
        <v>4</v>
      </c>
      <c r="J4">
        <f>$H$4*$I$4</f>
        <v/>
      </c>
      <c r="L4" t="n">
        <v>4056</v>
      </c>
      <c r="M4" t="inlineStr">
        <is>
          <t>E</t>
        </is>
      </c>
      <c r="N4" t="inlineStr">
        <is>
          <t>J</t>
        </is>
      </c>
      <c r="O4" t="inlineStr">
        <is>
          <t>I</t>
        </is>
      </c>
      <c r="P4" t="inlineStr">
        <is>
          <t>D</t>
        </is>
      </c>
      <c r="Q4" t="inlineStr">
        <is>
          <t>H</t>
        </is>
      </c>
      <c r="R4" t="inlineStr">
        <is>
          <t>G</t>
        </is>
      </c>
      <c r="S4" t="inlineStr">
        <is>
          <t>L</t>
        </is>
      </c>
      <c r="T4" t="inlineStr">
        <is>
          <t>K</t>
        </is>
      </c>
    </row>
    <row r="5">
      <c r="A5" t="inlineStr">
        <is>
          <t>D</t>
        </is>
      </c>
      <c r="B5">
        <f>IFERROR(INDEX('Fase de Grupos'!$J$51:$J$54,MATCH(LARGE('Fase de Grupos'!$S$51:$S$54,3),'Fase de Grupos'!$S$51:$S$54,0)),"")</f>
        <v/>
      </c>
      <c r="C5">
        <f>IFERROR(INDEX('Fase de Grupos'!$R$51:$R$54,MATCH(LARGE('Fase de Grupos'!$S$51:$S$54,3),'Fase de Grupos'!$S$51:$S$54,0)),0)</f>
        <v/>
      </c>
      <c r="D5">
        <f>IFERROR(INDEX('Fase de Grupos'!$Q$51:$Q$54,MATCH(LARGE('Fase de Grupos'!$S$51:$S$54,3),'Fase de Grupos'!$S$51:$S$54,0)),0)</f>
        <v/>
      </c>
      <c r="E5">
        <f>IFERROR(INDEX('Fase de Grupos'!$O$51:$O$54,MATCH(LARGE('Fase de Grupos'!$S$51:$S$54,3),'Fase de Grupos'!$S$51:$S$54,0)),0)</f>
        <v/>
      </c>
      <c r="F5">
        <f>$C$5*10000000+($D$5+99)*100000+$E$5*100+9</f>
        <v/>
      </c>
      <c r="G5">
        <f>RANK($F$5,$F$2:$F$13,0)</f>
        <v/>
      </c>
      <c r="H5">
        <f>IF($G$5&lt;=8,1,0)</f>
        <v/>
      </c>
      <c r="I5" t="n">
        <v>8</v>
      </c>
      <c r="J5">
        <f>$H$5*$I$5</f>
        <v/>
      </c>
      <c r="L5" t="n">
        <v>4024</v>
      </c>
      <c r="M5" t="inlineStr">
        <is>
          <t>E</t>
        </is>
      </c>
      <c r="N5" t="inlineStr">
        <is>
          <t>J</t>
        </is>
      </c>
      <c r="O5" t="inlineStr">
        <is>
          <t>I</t>
        </is>
      </c>
      <c r="P5" t="inlineStr">
        <is>
          <t>D</t>
        </is>
      </c>
      <c r="Q5" t="inlineStr">
        <is>
          <t>H</t>
        </is>
      </c>
      <c r="R5" t="inlineStr">
        <is>
          <t>F</t>
        </is>
      </c>
      <c r="S5" t="inlineStr">
        <is>
          <t>L</t>
        </is>
      </c>
      <c r="T5" t="inlineStr">
        <is>
          <t>K</t>
        </is>
      </c>
    </row>
    <row r="6">
      <c r="A6" t="inlineStr">
        <is>
          <t>E</t>
        </is>
      </c>
      <c r="B6">
        <f>IFERROR(INDEX('Fase de Grupos'!$J$67:$J$70,MATCH(LARGE('Fase de Grupos'!$S$67:$S$70,3),'Fase de Grupos'!$S$67:$S$70,0)),"")</f>
        <v/>
      </c>
      <c r="C6">
        <f>IFERROR(INDEX('Fase de Grupos'!$R$67:$R$70,MATCH(LARGE('Fase de Grupos'!$S$67:$S$70,3),'Fase de Grupos'!$S$67:$S$70,0)),0)</f>
        <v/>
      </c>
      <c r="D6">
        <f>IFERROR(INDEX('Fase de Grupos'!$Q$67:$Q$70,MATCH(LARGE('Fase de Grupos'!$S$67:$S$70,3),'Fase de Grupos'!$S$67:$S$70,0)),0)</f>
        <v/>
      </c>
      <c r="E6">
        <f>IFERROR(INDEX('Fase de Grupos'!$O$67:$O$70,MATCH(LARGE('Fase de Grupos'!$S$67:$S$70,3),'Fase de Grupos'!$S$67:$S$70,0)),0)</f>
        <v/>
      </c>
      <c r="F6">
        <f>$C$6*10000000+($D$6+99)*100000+$E$6*100+8</f>
        <v/>
      </c>
      <c r="G6">
        <f>RANK($F$6,$F$2:$F$13,0)</f>
        <v/>
      </c>
      <c r="H6">
        <f>IF($G$6&lt;=8,1,0)</f>
        <v/>
      </c>
      <c r="I6" t="n">
        <v>16</v>
      </c>
      <c r="J6">
        <f>$H$6*$I$6</f>
        <v/>
      </c>
      <c r="L6" t="n">
        <v>3960</v>
      </c>
      <c r="M6" t="inlineStr">
        <is>
          <t>E</t>
        </is>
      </c>
      <c r="N6" t="inlineStr">
        <is>
          <t>G</t>
        </is>
      </c>
      <c r="O6" t="inlineStr">
        <is>
          <t>I</t>
        </is>
      </c>
      <c r="P6" t="inlineStr">
        <is>
          <t>D</t>
        </is>
      </c>
      <c r="Q6" t="inlineStr">
        <is>
          <t>J</t>
        </is>
      </c>
      <c r="R6" t="inlineStr">
        <is>
          <t>F</t>
        </is>
      </c>
      <c r="S6" t="inlineStr">
        <is>
          <t>L</t>
        </is>
      </c>
      <c r="T6" t="inlineStr">
        <is>
          <t>K</t>
        </is>
      </c>
    </row>
    <row r="7">
      <c r="A7" t="inlineStr">
        <is>
          <t>F</t>
        </is>
      </c>
      <c r="B7">
        <f>IFERROR(INDEX('Fase de Grupos'!$J$83:$J$86,MATCH(LARGE('Fase de Grupos'!$S$83:$S$86,3),'Fase de Grupos'!$S$83:$S$86,0)),"")</f>
        <v/>
      </c>
      <c r="C7">
        <f>IFERROR(INDEX('Fase de Grupos'!$R$83:$R$86,MATCH(LARGE('Fase de Grupos'!$S$83:$S$86,3),'Fase de Grupos'!$S$83:$S$86,0)),0)</f>
        <v/>
      </c>
      <c r="D7">
        <f>IFERROR(INDEX('Fase de Grupos'!$Q$83:$Q$86,MATCH(LARGE('Fase de Grupos'!$S$83:$S$86,3),'Fase de Grupos'!$S$83:$S$86,0)),0)</f>
        <v/>
      </c>
      <c r="E7">
        <f>IFERROR(INDEX('Fase de Grupos'!$O$83:$O$86,MATCH(LARGE('Fase de Grupos'!$S$83:$S$86,3),'Fase de Grupos'!$S$83:$S$86,0)),0)</f>
        <v/>
      </c>
      <c r="F7">
        <f>$C$7*10000000+($D$7+99)*100000+$E$7*100+7</f>
        <v/>
      </c>
      <c r="G7">
        <f>RANK($F$7,$F$2:$F$13,0)</f>
        <v/>
      </c>
      <c r="H7">
        <f>IF($G$7&lt;=8,1,0)</f>
        <v/>
      </c>
      <c r="I7" t="n">
        <v>32</v>
      </c>
      <c r="J7">
        <f>$H$7*$I$7</f>
        <v/>
      </c>
      <c r="L7" t="n">
        <v>3832</v>
      </c>
      <c r="M7" t="inlineStr">
        <is>
          <t>E</t>
        </is>
      </c>
      <c r="N7" t="inlineStr">
        <is>
          <t>G</t>
        </is>
      </c>
      <c r="O7" t="inlineStr">
        <is>
          <t>J</t>
        </is>
      </c>
      <c r="P7" t="inlineStr">
        <is>
          <t>D</t>
        </is>
      </c>
      <c r="Q7" t="inlineStr">
        <is>
          <t>H</t>
        </is>
      </c>
      <c r="R7" t="inlineStr">
        <is>
          <t>F</t>
        </is>
      </c>
      <c r="S7" t="inlineStr">
        <is>
          <t>L</t>
        </is>
      </c>
      <c r="T7" t="inlineStr">
        <is>
          <t>K</t>
        </is>
      </c>
    </row>
    <row r="8">
      <c r="A8" t="inlineStr">
        <is>
          <t>G</t>
        </is>
      </c>
      <c r="B8">
        <f>IFERROR(INDEX('Fase de Grupos'!$J$99:$J$102,MATCH(LARGE('Fase de Grupos'!$S$99:$S$102,3),'Fase de Grupos'!$S$99:$S$102,0)),"")</f>
        <v/>
      </c>
      <c r="C8">
        <f>IFERROR(INDEX('Fase de Grupos'!$R$99:$R$102,MATCH(LARGE('Fase de Grupos'!$S$99:$S$102,3),'Fase de Grupos'!$S$99:$S$102,0)),0)</f>
        <v/>
      </c>
      <c r="D8">
        <f>IFERROR(INDEX('Fase de Grupos'!$Q$99:$Q$102,MATCH(LARGE('Fase de Grupos'!$S$99:$S$102,3),'Fase de Grupos'!$S$99:$S$102,0)),0)</f>
        <v/>
      </c>
      <c r="E8">
        <f>IFERROR(INDEX('Fase de Grupos'!$O$99:$O$102,MATCH(LARGE('Fase de Grupos'!$S$99:$S$102,3),'Fase de Grupos'!$S$99:$S$102,0)),0)</f>
        <v/>
      </c>
      <c r="F8">
        <f>$C$8*10000000+($D$8+99)*100000+$E$8*100+6</f>
        <v/>
      </c>
      <c r="G8">
        <f>RANK($F$8,$F$2:$F$13,0)</f>
        <v/>
      </c>
      <c r="H8">
        <f>IF($G$8&lt;=8,1,0)</f>
        <v/>
      </c>
      <c r="I8" t="n">
        <v>64</v>
      </c>
      <c r="J8">
        <f>$H$8*$I$8</f>
        <v/>
      </c>
      <c r="L8" t="n">
        <v>3576</v>
      </c>
      <c r="M8" t="inlineStr">
        <is>
          <t>E</t>
        </is>
      </c>
      <c r="N8" t="inlineStr">
        <is>
          <t>G</t>
        </is>
      </c>
      <c r="O8" t="inlineStr">
        <is>
          <t>I</t>
        </is>
      </c>
      <c r="P8" t="inlineStr">
        <is>
          <t>D</t>
        </is>
      </c>
      <c r="Q8" t="inlineStr">
        <is>
          <t>H</t>
        </is>
      </c>
      <c r="R8" t="inlineStr">
        <is>
          <t>F</t>
        </is>
      </c>
      <c r="S8" t="inlineStr">
        <is>
          <t>L</t>
        </is>
      </c>
      <c r="T8" t="inlineStr">
        <is>
          <t>K</t>
        </is>
      </c>
    </row>
    <row r="9">
      <c r="A9" t="inlineStr">
        <is>
          <t>H</t>
        </is>
      </c>
      <c r="B9">
        <f>IFERROR(INDEX('Fase de Grupos'!$J$115:$J$118,MATCH(LARGE('Fase de Grupos'!$S$115:$S$118,3),'Fase de Grupos'!$S$115:$S$118,0)),"")</f>
        <v/>
      </c>
      <c r="C9">
        <f>IFERROR(INDEX('Fase de Grupos'!$R$115:$R$118,MATCH(LARGE('Fase de Grupos'!$S$115:$S$118,3),'Fase de Grupos'!$S$115:$S$118,0)),0)</f>
        <v/>
      </c>
      <c r="D9">
        <f>IFERROR(INDEX('Fase de Grupos'!$Q$115:$Q$118,MATCH(LARGE('Fase de Grupos'!$S$115:$S$118,3),'Fase de Grupos'!$S$115:$S$118,0)),0)</f>
        <v/>
      </c>
      <c r="E9">
        <f>IFERROR(INDEX('Fase de Grupos'!$O$115:$O$118,MATCH(LARGE('Fase de Grupos'!$S$115:$S$118,3),'Fase de Grupos'!$S$115:$S$118,0)),0)</f>
        <v/>
      </c>
      <c r="F9">
        <f>$C$9*10000000+($D$9+99)*100000+$E$9*100+5</f>
        <v/>
      </c>
      <c r="G9">
        <f>RANK($F$9,$F$2:$F$13,0)</f>
        <v/>
      </c>
      <c r="H9">
        <f>IF($G$9&lt;=8,1,0)</f>
        <v/>
      </c>
      <c r="I9" t="n">
        <v>128</v>
      </c>
      <c r="J9">
        <f>$H$9*$I$9</f>
        <v/>
      </c>
      <c r="L9" t="n">
        <v>3064</v>
      </c>
      <c r="M9" t="inlineStr">
        <is>
          <t>E</t>
        </is>
      </c>
      <c r="N9" t="inlineStr">
        <is>
          <t>G</t>
        </is>
      </c>
      <c r="O9" t="inlineStr">
        <is>
          <t>J</t>
        </is>
      </c>
      <c r="P9" t="inlineStr">
        <is>
          <t>D</t>
        </is>
      </c>
      <c r="Q9" t="inlineStr">
        <is>
          <t>H</t>
        </is>
      </c>
      <c r="R9" t="inlineStr">
        <is>
          <t>F</t>
        </is>
      </c>
      <c r="S9" t="inlineStr">
        <is>
          <t>L</t>
        </is>
      </c>
      <c r="T9" t="inlineStr">
        <is>
          <t>I</t>
        </is>
      </c>
    </row>
    <row r="10">
      <c r="A10" t="inlineStr">
        <is>
          <t>I</t>
        </is>
      </c>
      <c r="B10">
        <f>IFERROR(INDEX('Fase de Grupos'!$J$131:$J$134,MATCH(LARGE('Fase de Grupos'!$S$131:$S$134,3),'Fase de Grupos'!$S$131:$S$134,0)),"")</f>
        <v/>
      </c>
      <c r="C10">
        <f>IFERROR(INDEX('Fase de Grupos'!$R$131:$R$134,MATCH(LARGE('Fase de Grupos'!$S$131:$S$134,3),'Fase de Grupos'!$S$131:$S$134,0)),0)</f>
        <v/>
      </c>
      <c r="D10">
        <f>IFERROR(INDEX('Fase de Grupos'!$Q$131:$Q$134,MATCH(LARGE('Fase de Grupos'!$S$131:$S$134,3),'Fase de Grupos'!$S$131:$S$134,0)),0)</f>
        <v/>
      </c>
      <c r="E10">
        <f>IFERROR(INDEX('Fase de Grupos'!$O$131:$O$134,MATCH(LARGE('Fase de Grupos'!$S$131:$S$134,3),'Fase de Grupos'!$S$131:$S$134,0)),0)</f>
        <v/>
      </c>
      <c r="F10">
        <f>$C$10*10000000+($D$10+99)*100000+$E$10*100+4</f>
        <v/>
      </c>
      <c r="G10">
        <f>RANK($F$10,$F$2:$F$13,0)</f>
        <v/>
      </c>
      <c r="H10">
        <f>IF($G$10&lt;=8,1,0)</f>
        <v/>
      </c>
      <c r="I10" t="n">
        <v>256</v>
      </c>
      <c r="J10">
        <f>$H$10*$I$10</f>
        <v/>
      </c>
      <c r="L10" t="n">
        <v>2040</v>
      </c>
      <c r="M10" t="inlineStr">
        <is>
          <t>E</t>
        </is>
      </c>
      <c r="N10" t="inlineStr">
        <is>
          <t>G</t>
        </is>
      </c>
      <c r="O10" t="inlineStr">
        <is>
          <t>J</t>
        </is>
      </c>
      <c r="P10" t="inlineStr">
        <is>
          <t>D</t>
        </is>
      </c>
      <c r="Q10" t="inlineStr">
        <is>
          <t>H</t>
        </is>
      </c>
      <c r="R10" t="inlineStr">
        <is>
          <t>F</t>
        </is>
      </c>
      <c r="S10" t="inlineStr">
        <is>
          <t>I</t>
        </is>
      </c>
      <c r="T10" t="inlineStr">
        <is>
          <t>K</t>
        </is>
      </c>
    </row>
    <row r="11">
      <c r="A11" t="inlineStr">
        <is>
          <t>J</t>
        </is>
      </c>
      <c r="B11">
        <f>IFERROR(INDEX('Fase de Grupos'!$J$147:$J$150,MATCH(LARGE('Fase de Grupos'!$S$147:$S$150,3),'Fase de Grupos'!$S$147:$S$150,0)),"")</f>
        <v/>
      </c>
      <c r="C11">
        <f>IFERROR(INDEX('Fase de Grupos'!$R$147:$R$150,MATCH(LARGE('Fase de Grupos'!$S$147:$S$150,3),'Fase de Grupos'!$S$147:$S$150,0)),0)</f>
        <v/>
      </c>
      <c r="D11">
        <f>IFERROR(INDEX('Fase de Grupos'!$Q$147:$Q$150,MATCH(LARGE('Fase de Grupos'!$S$147:$S$150,3),'Fase de Grupos'!$S$147:$S$150,0)),0)</f>
        <v/>
      </c>
      <c r="E11">
        <f>IFERROR(INDEX('Fase de Grupos'!$O$147:$O$150,MATCH(LARGE('Fase de Grupos'!$S$147:$S$150,3),'Fase de Grupos'!$S$147:$S$150,0)),0)</f>
        <v/>
      </c>
      <c r="F11">
        <f>$C$11*10000000+($D$11+99)*100000+$E$11*100+3</f>
        <v/>
      </c>
      <c r="G11">
        <f>RANK($F$11,$F$2:$F$13,0)</f>
        <v/>
      </c>
      <c r="H11">
        <f>IF($G$11&lt;=8,1,0)</f>
        <v/>
      </c>
      <c r="I11" t="n">
        <v>512</v>
      </c>
      <c r="J11">
        <f>$H$11*$I$11</f>
        <v/>
      </c>
      <c r="L11" t="n">
        <v>4068</v>
      </c>
      <c r="M11" t="inlineStr">
        <is>
          <t>H</t>
        </is>
      </c>
      <c r="N11" t="inlineStr">
        <is>
          <t>G</t>
        </is>
      </c>
      <c r="O11" t="inlineStr">
        <is>
          <t>I</t>
        </is>
      </c>
      <c r="P11" t="inlineStr">
        <is>
          <t>C</t>
        </is>
      </c>
      <c r="Q11" t="inlineStr">
        <is>
          <t>J</t>
        </is>
      </c>
      <c r="R11" t="inlineStr">
        <is>
          <t>F</t>
        </is>
      </c>
      <c r="S11" t="inlineStr">
        <is>
          <t>L</t>
        </is>
      </c>
      <c r="T11" t="inlineStr">
        <is>
          <t>K</t>
        </is>
      </c>
    </row>
    <row r="12">
      <c r="A12" t="inlineStr">
        <is>
          <t>K</t>
        </is>
      </c>
      <c r="B12">
        <f>IFERROR(INDEX('Fase de Grupos'!$J$163:$J$166,MATCH(LARGE('Fase de Grupos'!$S$163:$S$166,3),'Fase de Grupos'!$S$163:$S$166,0)),"")</f>
        <v/>
      </c>
      <c r="C12">
        <f>IFERROR(INDEX('Fase de Grupos'!$R$163:$R$166,MATCH(LARGE('Fase de Grupos'!$S$163:$S$166,3),'Fase de Grupos'!$S$163:$S$166,0)),0)</f>
        <v/>
      </c>
      <c r="D12">
        <f>IFERROR(INDEX('Fase de Grupos'!$Q$163:$Q$166,MATCH(LARGE('Fase de Grupos'!$S$163:$S$166,3),'Fase de Grupos'!$S$163:$S$166,0)),0)</f>
        <v/>
      </c>
      <c r="E12">
        <f>IFERROR(INDEX('Fase de Grupos'!$O$163:$O$166,MATCH(LARGE('Fase de Grupos'!$S$163:$S$166,3),'Fase de Grupos'!$S$163:$S$166,0)),0)</f>
        <v/>
      </c>
      <c r="F12">
        <f>$C$12*10000000+($D$12+99)*100000+$E$12*100+2</f>
        <v/>
      </c>
      <c r="G12">
        <f>RANK($F$12,$F$2:$F$13,0)</f>
        <v/>
      </c>
      <c r="H12">
        <f>IF($G$12&lt;=8,1,0)</f>
        <v/>
      </c>
      <c r="I12" t="n">
        <v>1024</v>
      </c>
      <c r="J12">
        <f>$H$12*$I$12</f>
        <v/>
      </c>
      <c r="L12" t="n">
        <v>4052</v>
      </c>
      <c r="M12" t="inlineStr">
        <is>
          <t>E</t>
        </is>
      </c>
      <c r="N12" t="inlineStr">
        <is>
          <t>J</t>
        </is>
      </c>
      <c r="O12" t="inlineStr">
        <is>
          <t>I</t>
        </is>
      </c>
      <c r="P12" t="inlineStr">
        <is>
          <t>C</t>
        </is>
      </c>
      <c r="Q12" t="inlineStr">
        <is>
          <t>H</t>
        </is>
      </c>
      <c r="R12" t="inlineStr">
        <is>
          <t>G</t>
        </is>
      </c>
      <c r="S12" t="inlineStr">
        <is>
          <t>L</t>
        </is>
      </c>
      <c r="T12" t="inlineStr">
        <is>
          <t>K</t>
        </is>
      </c>
    </row>
    <row r="13">
      <c r="A13" t="inlineStr">
        <is>
          <t>L</t>
        </is>
      </c>
      <c r="B13">
        <f>IFERROR(INDEX('Fase de Grupos'!$J$179:$J$182,MATCH(LARGE('Fase de Grupos'!$S$179:$S$182,3),'Fase de Grupos'!$S$179:$S$182,0)),"")</f>
        <v/>
      </c>
      <c r="C13">
        <f>IFERROR(INDEX('Fase de Grupos'!$R$179:$R$182,MATCH(LARGE('Fase de Grupos'!$S$179:$S$182,3),'Fase de Grupos'!$S$179:$S$182,0)),0)</f>
        <v/>
      </c>
      <c r="D13">
        <f>IFERROR(INDEX('Fase de Grupos'!$Q$179:$Q$182,MATCH(LARGE('Fase de Grupos'!$S$179:$S$182,3),'Fase de Grupos'!$S$179:$S$182,0)),0)</f>
        <v/>
      </c>
      <c r="E13">
        <f>IFERROR(INDEX('Fase de Grupos'!$O$179:$O$182,MATCH(LARGE('Fase de Grupos'!$S$179:$S$182,3),'Fase de Grupos'!$S$179:$S$182,0)),0)</f>
        <v/>
      </c>
      <c r="F13">
        <f>$C$13*10000000+($D$13+99)*100000+$E$13*100+1</f>
        <v/>
      </c>
      <c r="G13">
        <f>RANK($F$13,$F$2:$F$13,0)</f>
        <v/>
      </c>
      <c r="H13">
        <f>IF($G$13&lt;=8,1,0)</f>
        <v/>
      </c>
      <c r="I13" t="n">
        <v>2048</v>
      </c>
      <c r="J13">
        <f>$H$13*$I$13</f>
        <v/>
      </c>
      <c r="L13" t="n">
        <v>4020</v>
      </c>
      <c r="M13" t="inlineStr">
        <is>
          <t>E</t>
        </is>
      </c>
      <c r="N13" t="inlineStr">
        <is>
          <t>J</t>
        </is>
      </c>
      <c r="O13" t="inlineStr">
        <is>
          <t>I</t>
        </is>
      </c>
      <c r="P13" t="inlineStr">
        <is>
          <t>C</t>
        </is>
      </c>
      <c r="Q13" t="inlineStr">
        <is>
          <t>H</t>
        </is>
      </c>
      <c r="R13" t="inlineStr">
        <is>
          <t>F</t>
        </is>
      </c>
      <c r="S13" t="inlineStr">
        <is>
          <t>L</t>
        </is>
      </c>
      <c r="T13" t="inlineStr">
        <is>
          <t>K</t>
        </is>
      </c>
    </row>
    <row r="14">
      <c r="L14" t="n">
        <v>3956</v>
      </c>
      <c r="M14" t="inlineStr">
        <is>
          <t>E</t>
        </is>
      </c>
      <c r="N14" t="inlineStr">
        <is>
          <t>G</t>
        </is>
      </c>
      <c r="O14" t="inlineStr">
        <is>
          <t>I</t>
        </is>
      </c>
      <c r="P14" t="inlineStr">
        <is>
          <t>C</t>
        </is>
      </c>
      <c r="Q14" t="inlineStr">
        <is>
          <t>J</t>
        </is>
      </c>
      <c r="R14" t="inlineStr">
        <is>
          <t>F</t>
        </is>
      </c>
      <c r="S14" t="inlineStr">
        <is>
          <t>L</t>
        </is>
      </c>
      <c r="T14" t="inlineStr">
        <is>
          <t>K</t>
        </is>
      </c>
    </row>
    <row r="15">
      <c r="J15">
        <f>SUM($J$2:$J$13)</f>
        <v/>
      </c>
      <c r="L15" t="n">
        <v>3828</v>
      </c>
      <c r="M15" t="inlineStr">
        <is>
          <t>E</t>
        </is>
      </c>
      <c r="N15" t="inlineStr">
        <is>
          <t>G</t>
        </is>
      </c>
      <c r="O15" t="inlineStr">
        <is>
          <t>J</t>
        </is>
      </c>
      <c r="P15" t="inlineStr">
        <is>
          <t>C</t>
        </is>
      </c>
      <c r="Q15" t="inlineStr">
        <is>
          <t>H</t>
        </is>
      </c>
      <c r="R15" t="inlineStr">
        <is>
          <t>F</t>
        </is>
      </c>
      <c r="S15" t="inlineStr">
        <is>
          <t>L</t>
        </is>
      </c>
      <c r="T15" t="inlineStr">
        <is>
          <t>K</t>
        </is>
      </c>
    </row>
    <row r="16">
      <c r="L16" t="n">
        <v>3572</v>
      </c>
      <c r="M16" t="inlineStr">
        <is>
          <t>E</t>
        </is>
      </c>
      <c r="N16" t="inlineStr">
        <is>
          <t>G</t>
        </is>
      </c>
      <c r="O16" t="inlineStr">
        <is>
          <t>I</t>
        </is>
      </c>
      <c r="P16" t="inlineStr">
        <is>
          <t>C</t>
        </is>
      </c>
      <c r="Q16" t="inlineStr">
        <is>
          <t>H</t>
        </is>
      </c>
      <c r="R16" t="inlineStr">
        <is>
          <t>F</t>
        </is>
      </c>
      <c r="S16" t="inlineStr">
        <is>
          <t>L</t>
        </is>
      </c>
      <c r="T16" t="inlineStr">
        <is>
          <t>K</t>
        </is>
      </c>
    </row>
    <row r="17">
      <c r="L17" t="n">
        <v>3060</v>
      </c>
      <c r="M17" t="inlineStr">
        <is>
          <t>E</t>
        </is>
      </c>
      <c r="N17" t="inlineStr">
        <is>
          <t>G</t>
        </is>
      </c>
      <c r="O17" t="inlineStr">
        <is>
          <t>J</t>
        </is>
      </c>
      <c r="P17" t="inlineStr">
        <is>
          <t>C</t>
        </is>
      </c>
      <c r="Q17" t="inlineStr">
        <is>
          <t>H</t>
        </is>
      </c>
      <c r="R17" t="inlineStr">
        <is>
          <t>F</t>
        </is>
      </c>
      <c r="S17" t="inlineStr">
        <is>
          <t>L</t>
        </is>
      </c>
      <c r="T17" t="inlineStr">
        <is>
          <t>I</t>
        </is>
      </c>
    </row>
    <row r="18">
      <c r="A18" t="inlineStr">
        <is>
          <t>1A</t>
        </is>
      </c>
      <c r="B18">
        <f>IFERROR(INDEX($B$2:$B$13,MATCH(VLOOKUP($J$15,$L$2:T$496,2,0),$A$2:$A$13,0)),"—")</f>
        <v/>
      </c>
      <c r="L18" t="n">
        <v>2036</v>
      </c>
      <c r="M18" t="inlineStr">
        <is>
          <t>E</t>
        </is>
      </c>
      <c r="N18" t="inlineStr">
        <is>
          <t>G</t>
        </is>
      </c>
      <c r="O18" t="inlineStr">
        <is>
          <t>J</t>
        </is>
      </c>
      <c r="P18" t="inlineStr">
        <is>
          <t>C</t>
        </is>
      </c>
      <c r="Q18" t="inlineStr">
        <is>
          <t>H</t>
        </is>
      </c>
      <c r="R18" t="inlineStr">
        <is>
          <t>F</t>
        </is>
      </c>
      <c r="S18" t="inlineStr">
        <is>
          <t>I</t>
        </is>
      </c>
      <c r="T18" t="inlineStr">
        <is>
          <t>K</t>
        </is>
      </c>
    </row>
    <row r="19">
      <c r="A19" t="inlineStr">
        <is>
          <t>1B</t>
        </is>
      </c>
      <c r="B19">
        <f>IFERROR(INDEX($B$2:$B$13,MATCH(VLOOKUP($J$15,$L$2:T$496,3,0),$A$2:$A$13,0)),"—")</f>
        <v/>
      </c>
      <c r="L19" t="n">
        <v>4044</v>
      </c>
      <c r="M19" t="inlineStr">
        <is>
          <t>H</t>
        </is>
      </c>
      <c r="N19" t="inlineStr">
        <is>
          <t>G</t>
        </is>
      </c>
      <c r="O19" t="inlineStr">
        <is>
          <t>I</t>
        </is>
      </c>
      <c r="P19" t="inlineStr">
        <is>
          <t>C</t>
        </is>
      </c>
      <c r="Q19" t="inlineStr">
        <is>
          <t>J</t>
        </is>
      </c>
      <c r="R19" t="inlineStr">
        <is>
          <t>D</t>
        </is>
      </c>
      <c r="S19" t="inlineStr">
        <is>
          <t>L</t>
        </is>
      </c>
      <c r="T19" t="inlineStr">
        <is>
          <t>K</t>
        </is>
      </c>
    </row>
    <row r="20">
      <c r="A20" t="inlineStr">
        <is>
          <t>1D</t>
        </is>
      </c>
      <c r="B20">
        <f>IFERROR(INDEX($B$2:$B$13,MATCH(VLOOKUP($J$15,$L$2:T$496,4,0),$A$2:$A$13,0)),"—")</f>
        <v/>
      </c>
      <c r="L20" t="n">
        <v>4012</v>
      </c>
      <c r="M20" t="inlineStr">
        <is>
          <t>C</t>
        </is>
      </c>
      <c r="N20" t="inlineStr">
        <is>
          <t>J</t>
        </is>
      </c>
      <c r="O20" t="inlineStr">
        <is>
          <t>I</t>
        </is>
      </c>
      <c r="P20" t="inlineStr">
        <is>
          <t>D</t>
        </is>
      </c>
      <c r="Q20" t="inlineStr">
        <is>
          <t>H</t>
        </is>
      </c>
      <c r="R20" t="inlineStr">
        <is>
          <t>F</t>
        </is>
      </c>
      <c r="S20" t="inlineStr">
        <is>
          <t>L</t>
        </is>
      </c>
      <c r="T20" t="inlineStr">
        <is>
          <t>K</t>
        </is>
      </c>
    </row>
    <row r="21">
      <c r="A21" t="inlineStr">
        <is>
          <t>1E</t>
        </is>
      </c>
      <c r="B21">
        <f>IFERROR(INDEX($B$2:$B$13,MATCH(VLOOKUP($J$15,$L$2:T$496,5,0),$A$2:$A$13,0)),"—")</f>
        <v/>
      </c>
      <c r="L21" t="n">
        <v>3948</v>
      </c>
      <c r="M21" t="inlineStr">
        <is>
          <t>C</t>
        </is>
      </c>
      <c r="N21" t="inlineStr">
        <is>
          <t>G</t>
        </is>
      </c>
      <c r="O21" t="inlineStr">
        <is>
          <t>I</t>
        </is>
      </c>
      <c r="P21" t="inlineStr">
        <is>
          <t>D</t>
        </is>
      </c>
      <c r="Q21" t="inlineStr">
        <is>
          <t>J</t>
        </is>
      </c>
      <c r="R21" t="inlineStr">
        <is>
          <t>F</t>
        </is>
      </c>
      <c r="S21" t="inlineStr">
        <is>
          <t>L</t>
        </is>
      </c>
      <c r="T21" t="inlineStr">
        <is>
          <t>K</t>
        </is>
      </c>
    </row>
    <row r="22">
      <c r="A22" t="inlineStr">
        <is>
          <t>1G</t>
        </is>
      </c>
      <c r="B22">
        <f>IFERROR(INDEX($B$2:$B$13,MATCH(VLOOKUP($J$15,$L$2:T$496,6,0),$A$2:$A$13,0)),"—")</f>
        <v/>
      </c>
      <c r="L22" t="n">
        <v>3820</v>
      </c>
      <c r="M22" t="inlineStr">
        <is>
          <t>C</t>
        </is>
      </c>
      <c r="N22" t="inlineStr">
        <is>
          <t>G</t>
        </is>
      </c>
      <c r="O22" t="inlineStr">
        <is>
          <t>J</t>
        </is>
      </c>
      <c r="P22" t="inlineStr">
        <is>
          <t>D</t>
        </is>
      </c>
      <c r="Q22" t="inlineStr">
        <is>
          <t>H</t>
        </is>
      </c>
      <c r="R22" t="inlineStr">
        <is>
          <t>F</t>
        </is>
      </c>
      <c r="S22" t="inlineStr">
        <is>
          <t>L</t>
        </is>
      </c>
      <c r="T22" t="inlineStr">
        <is>
          <t>K</t>
        </is>
      </c>
    </row>
    <row r="23">
      <c r="A23" t="inlineStr">
        <is>
          <t>1I</t>
        </is>
      </c>
      <c r="B23">
        <f>IFERROR(INDEX($B$2:$B$13,MATCH(VLOOKUP($J$15,$L$2:T$496,7,0),$A$2:$A$13,0)),"—")</f>
        <v/>
      </c>
      <c r="L23" t="n">
        <v>3564</v>
      </c>
      <c r="M23" t="inlineStr">
        <is>
          <t>C</t>
        </is>
      </c>
      <c r="N23" t="inlineStr">
        <is>
          <t>G</t>
        </is>
      </c>
      <c r="O23" t="inlineStr">
        <is>
          <t>I</t>
        </is>
      </c>
      <c r="P23" t="inlineStr">
        <is>
          <t>D</t>
        </is>
      </c>
      <c r="Q23" t="inlineStr">
        <is>
          <t>H</t>
        </is>
      </c>
      <c r="R23" t="inlineStr">
        <is>
          <t>F</t>
        </is>
      </c>
      <c r="S23" t="inlineStr">
        <is>
          <t>L</t>
        </is>
      </c>
      <c r="T23" t="inlineStr">
        <is>
          <t>K</t>
        </is>
      </c>
    </row>
    <row r="24">
      <c r="A24" t="inlineStr">
        <is>
          <t>1K</t>
        </is>
      </c>
      <c r="B24">
        <f>IFERROR(INDEX($B$2:$B$13,MATCH(VLOOKUP($J$15,$L$2:T$496,8,0),$A$2:$A$13,0)),"—")</f>
        <v/>
      </c>
      <c r="L24" t="n">
        <v>3052</v>
      </c>
      <c r="M24" t="inlineStr">
        <is>
          <t>C</t>
        </is>
      </c>
      <c r="N24" t="inlineStr">
        <is>
          <t>G</t>
        </is>
      </c>
      <c r="O24" t="inlineStr">
        <is>
          <t>J</t>
        </is>
      </c>
      <c r="P24" t="inlineStr">
        <is>
          <t>D</t>
        </is>
      </c>
      <c r="Q24" t="inlineStr">
        <is>
          <t>H</t>
        </is>
      </c>
      <c r="R24" t="inlineStr">
        <is>
          <t>F</t>
        </is>
      </c>
      <c r="S24" t="inlineStr">
        <is>
          <t>L</t>
        </is>
      </c>
      <c r="T24" t="inlineStr">
        <is>
          <t>I</t>
        </is>
      </c>
    </row>
    <row r="25">
      <c r="A25" t="inlineStr">
        <is>
          <t>1L</t>
        </is>
      </c>
      <c r="B25">
        <f>IFERROR(INDEX($B$2:$B$13,MATCH(VLOOKUP($J$15,$L$2:T$496,9,0),$A$2:$A$13,0)),"—")</f>
        <v/>
      </c>
      <c r="L25" t="n">
        <v>2028</v>
      </c>
      <c r="M25" t="inlineStr">
        <is>
          <t>C</t>
        </is>
      </c>
      <c r="N25" t="inlineStr">
        <is>
          <t>G</t>
        </is>
      </c>
      <c r="O25" t="inlineStr">
        <is>
          <t>J</t>
        </is>
      </c>
      <c r="P25" t="inlineStr">
        <is>
          <t>D</t>
        </is>
      </c>
      <c r="Q25" t="inlineStr">
        <is>
          <t>H</t>
        </is>
      </c>
      <c r="R25" t="inlineStr">
        <is>
          <t>F</t>
        </is>
      </c>
      <c r="S25" t="inlineStr">
        <is>
          <t>I</t>
        </is>
      </c>
      <c r="T25" t="inlineStr">
        <is>
          <t>K</t>
        </is>
      </c>
    </row>
    <row r="26">
      <c r="L26" t="n">
        <v>3996</v>
      </c>
      <c r="M26" t="inlineStr">
        <is>
          <t>E</t>
        </is>
      </c>
      <c r="N26" t="inlineStr">
        <is>
          <t>J</t>
        </is>
      </c>
      <c r="O26" t="inlineStr">
        <is>
          <t>I</t>
        </is>
      </c>
      <c r="P26" t="inlineStr">
        <is>
          <t>C</t>
        </is>
      </c>
      <c r="Q26" t="inlineStr">
        <is>
          <t>H</t>
        </is>
      </c>
      <c r="R26" t="inlineStr">
        <is>
          <t>D</t>
        </is>
      </c>
      <c r="S26" t="inlineStr">
        <is>
          <t>L</t>
        </is>
      </c>
      <c r="T26" t="inlineStr">
        <is>
          <t>K</t>
        </is>
      </c>
    </row>
    <row r="27">
      <c r="L27" t="n">
        <v>3932</v>
      </c>
      <c r="M27" t="inlineStr">
        <is>
          <t>E</t>
        </is>
      </c>
      <c r="N27" t="inlineStr">
        <is>
          <t>G</t>
        </is>
      </c>
      <c r="O27" t="inlineStr">
        <is>
          <t>I</t>
        </is>
      </c>
      <c r="P27" t="inlineStr">
        <is>
          <t>C</t>
        </is>
      </c>
      <c r="Q27" t="inlineStr">
        <is>
          <t>J</t>
        </is>
      </c>
      <c r="R27" t="inlineStr">
        <is>
          <t>D</t>
        </is>
      </c>
      <c r="S27" t="inlineStr">
        <is>
          <t>L</t>
        </is>
      </c>
      <c r="T27" t="inlineStr">
        <is>
          <t>K</t>
        </is>
      </c>
    </row>
    <row r="28">
      <c r="L28" t="n">
        <v>3804</v>
      </c>
      <c r="M28" t="inlineStr">
        <is>
          <t>E</t>
        </is>
      </c>
      <c r="N28" t="inlineStr">
        <is>
          <t>G</t>
        </is>
      </c>
      <c r="O28" t="inlineStr">
        <is>
          <t>J</t>
        </is>
      </c>
      <c r="P28" t="inlineStr">
        <is>
          <t>C</t>
        </is>
      </c>
      <c r="Q28" t="inlineStr">
        <is>
          <t>H</t>
        </is>
      </c>
      <c r="R28" t="inlineStr">
        <is>
          <t>D</t>
        </is>
      </c>
      <c r="S28" t="inlineStr">
        <is>
          <t>L</t>
        </is>
      </c>
      <c r="T28" t="inlineStr">
        <is>
          <t>K</t>
        </is>
      </c>
    </row>
    <row r="29">
      <c r="L29" t="n">
        <v>3548</v>
      </c>
      <c r="M29" t="inlineStr">
        <is>
          <t>E</t>
        </is>
      </c>
      <c r="N29" t="inlineStr">
        <is>
          <t>G</t>
        </is>
      </c>
      <c r="O29" t="inlineStr">
        <is>
          <t>I</t>
        </is>
      </c>
      <c r="P29" t="inlineStr">
        <is>
          <t>C</t>
        </is>
      </c>
      <c r="Q29" t="inlineStr">
        <is>
          <t>H</t>
        </is>
      </c>
      <c r="R29" t="inlineStr">
        <is>
          <t>D</t>
        </is>
      </c>
      <c r="S29" t="inlineStr">
        <is>
          <t>L</t>
        </is>
      </c>
      <c r="T29" t="inlineStr">
        <is>
          <t>K</t>
        </is>
      </c>
    </row>
    <row r="30">
      <c r="L30" t="n">
        <v>3036</v>
      </c>
      <c r="M30" t="inlineStr">
        <is>
          <t>E</t>
        </is>
      </c>
      <c r="N30" t="inlineStr">
        <is>
          <t>G</t>
        </is>
      </c>
      <c r="O30" t="inlineStr">
        <is>
          <t>J</t>
        </is>
      </c>
      <c r="P30" t="inlineStr">
        <is>
          <t>C</t>
        </is>
      </c>
      <c r="Q30" t="inlineStr">
        <is>
          <t>H</t>
        </is>
      </c>
      <c r="R30" t="inlineStr">
        <is>
          <t>D</t>
        </is>
      </c>
      <c r="S30" t="inlineStr">
        <is>
          <t>L</t>
        </is>
      </c>
      <c r="T30" t="inlineStr">
        <is>
          <t>I</t>
        </is>
      </c>
    </row>
    <row r="31">
      <c r="L31" t="n">
        <v>2012</v>
      </c>
      <c r="M31" t="inlineStr">
        <is>
          <t>E</t>
        </is>
      </c>
      <c r="N31" t="inlineStr">
        <is>
          <t>G</t>
        </is>
      </c>
      <c r="O31" t="inlineStr">
        <is>
          <t>J</t>
        </is>
      </c>
      <c r="P31" t="inlineStr">
        <is>
          <t>C</t>
        </is>
      </c>
      <c r="Q31" t="inlineStr">
        <is>
          <t>H</t>
        </is>
      </c>
      <c r="R31" t="inlineStr">
        <is>
          <t>D</t>
        </is>
      </c>
      <c r="S31" t="inlineStr">
        <is>
          <t>I</t>
        </is>
      </c>
      <c r="T31" t="inlineStr">
        <is>
          <t>K</t>
        </is>
      </c>
    </row>
    <row r="32">
      <c r="L32" t="n">
        <v>3900</v>
      </c>
      <c r="M32" t="inlineStr">
        <is>
          <t>C</t>
        </is>
      </c>
      <c r="N32" t="inlineStr">
        <is>
          <t>J</t>
        </is>
      </c>
      <c r="O32" t="inlineStr">
        <is>
          <t>E</t>
        </is>
      </c>
      <c r="P32" t="inlineStr">
        <is>
          <t>D</t>
        </is>
      </c>
      <c r="Q32" t="inlineStr">
        <is>
          <t>I</t>
        </is>
      </c>
      <c r="R32" t="inlineStr">
        <is>
          <t>F</t>
        </is>
      </c>
      <c r="S32" t="inlineStr">
        <is>
          <t>L</t>
        </is>
      </c>
      <c r="T32" t="inlineStr">
        <is>
          <t>K</t>
        </is>
      </c>
    </row>
    <row r="33">
      <c r="L33" t="n">
        <v>3772</v>
      </c>
      <c r="M33" t="inlineStr">
        <is>
          <t>C</t>
        </is>
      </c>
      <c r="N33" t="inlineStr">
        <is>
          <t>J</t>
        </is>
      </c>
      <c r="O33" t="inlineStr">
        <is>
          <t>E</t>
        </is>
      </c>
      <c r="P33" t="inlineStr">
        <is>
          <t>D</t>
        </is>
      </c>
      <c r="Q33" t="inlineStr">
        <is>
          <t>H</t>
        </is>
      </c>
      <c r="R33" t="inlineStr">
        <is>
          <t>F</t>
        </is>
      </c>
      <c r="S33" t="inlineStr">
        <is>
          <t>L</t>
        </is>
      </c>
      <c r="T33" t="inlineStr">
        <is>
          <t>K</t>
        </is>
      </c>
    </row>
    <row r="34">
      <c r="L34" t="n">
        <v>3516</v>
      </c>
      <c r="M34" t="inlineStr">
        <is>
          <t>C</t>
        </is>
      </c>
      <c r="N34" t="inlineStr">
        <is>
          <t>E</t>
        </is>
      </c>
      <c r="O34" t="inlineStr">
        <is>
          <t>I</t>
        </is>
      </c>
      <c r="P34" t="inlineStr">
        <is>
          <t>D</t>
        </is>
      </c>
      <c r="Q34" t="inlineStr">
        <is>
          <t>H</t>
        </is>
      </c>
      <c r="R34" t="inlineStr">
        <is>
          <t>F</t>
        </is>
      </c>
      <c r="S34" t="inlineStr">
        <is>
          <t>L</t>
        </is>
      </c>
      <c r="T34" t="inlineStr">
        <is>
          <t>K</t>
        </is>
      </c>
    </row>
    <row r="35">
      <c r="L35" t="n">
        <v>3004</v>
      </c>
      <c r="M35" t="inlineStr">
        <is>
          <t>C</t>
        </is>
      </c>
      <c r="N35" t="inlineStr">
        <is>
          <t>J</t>
        </is>
      </c>
      <c r="O35" t="inlineStr">
        <is>
          <t>E</t>
        </is>
      </c>
      <c r="P35" t="inlineStr">
        <is>
          <t>D</t>
        </is>
      </c>
      <c r="Q35" t="inlineStr">
        <is>
          <t>H</t>
        </is>
      </c>
      <c r="R35" t="inlineStr">
        <is>
          <t>F</t>
        </is>
      </c>
      <c r="S35" t="inlineStr">
        <is>
          <t>L</t>
        </is>
      </c>
      <c r="T35" t="inlineStr">
        <is>
          <t>I</t>
        </is>
      </c>
    </row>
    <row r="36">
      <c r="L36" t="n">
        <v>1980</v>
      </c>
      <c r="M36" t="inlineStr">
        <is>
          <t>C</t>
        </is>
      </c>
      <c r="N36" t="inlineStr">
        <is>
          <t>J</t>
        </is>
      </c>
      <c r="O36" t="inlineStr">
        <is>
          <t>E</t>
        </is>
      </c>
      <c r="P36" t="inlineStr">
        <is>
          <t>D</t>
        </is>
      </c>
      <c r="Q36" t="inlineStr">
        <is>
          <t>H</t>
        </is>
      </c>
      <c r="R36" t="inlineStr">
        <is>
          <t>F</t>
        </is>
      </c>
      <c r="S36" t="inlineStr">
        <is>
          <t>I</t>
        </is>
      </c>
      <c r="T36" t="inlineStr">
        <is>
          <t>K</t>
        </is>
      </c>
    </row>
    <row r="37">
      <c r="L37" t="n">
        <v>3708</v>
      </c>
      <c r="M37" t="inlineStr">
        <is>
          <t>C</t>
        </is>
      </c>
      <c r="N37" t="inlineStr">
        <is>
          <t>G</t>
        </is>
      </c>
      <c r="O37" t="inlineStr">
        <is>
          <t>E</t>
        </is>
      </c>
      <c r="P37" t="inlineStr">
        <is>
          <t>D</t>
        </is>
      </c>
      <c r="Q37" t="inlineStr">
        <is>
          <t>J</t>
        </is>
      </c>
      <c r="R37" t="inlineStr">
        <is>
          <t>F</t>
        </is>
      </c>
      <c r="S37" t="inlineStr">
        <is>
          <t>L</t>
        </is>
      </c>
      <c r="T37" t="inlineStr">
        <is>
          <t>K</t>
        </is>
      </c>
    </row>
    <row r="38">
      <c r="L38" t="n">
        <v>3452</v>
      </c>
      <c r="M38" t="inlineStr">
        <is>
          <t>C</t>
        </is>
      </c>
      <c r="N38" t="inlineStr">
        <is>
          <t>G</t>
        </is>
      </c>
      <c r="O38" t="inlineStr">
        <is>
          <t>E</t>
        </is>
      </c>
      <c r="P38" t="inlineStr">
        <is>
          <t>D</t>
        </is>
      </c>
      <c r="Q38" t="inlineStr">
        <is>
          <t>I</t>
        </is>
      </c>
      <c r="R38" t="inlineStr">
        <is>
          <t>F</t>
        </is>
      </c>
      <c r="S38" t="inlineStr">
        <is>
          <t>L</t>
        </is>
      </c>
      <c r="T38" t="inlineStr">
        <is>
          <t>K</t>
        </is>
      </c>
    </row>
    <row r="39">
      <c r="L39" t="n">
        <v>2940</v>
      </c>
      <c r="M39" t="inlineStr">
        <is>
          <t>C</t>
        </is>
      </c>
      <c r="N39" t="inlineStr">
        <is>
          <t>G</t>
        </is>
      </c>
      <c r="O39" t="inlineStr">
        <is>
          <t>E</t>
        </is>
      </c>
      <c r="P39" t="inlineStr">
        <is>
          <t>D</t>
        </is>
      </c>
      <c r="Q39" t="inlineStr">
        <is>
          <t>J</t>
        </is>
      </c>
      <c r="R39" t="inlineStr">
        <is>
          <t>F</t>
        </is>
      </c>
      <c r="S39" t="inlineStr">
        <is>
          <t>L</t>
        </is>
      </c>
      <c r="T39" t="inlineStr">
        <is>
          <t>I</t>
        </is>
      </c>
    </row>
    <row r="40">
      <c r="L40" t="n">
        <v>1916</v>
      </c>
      <c r="M40" t="inlineStr">
        <is>
          <t>C</t>
        </is>
      </c>
      <c r="N40" t="inlineStr">
        <is>
          <t>G</t>
        </is>
      </c>
      <c r="O40" t="inlineStr">
        <is>
          <t>E</t>
        </is>
      </c>
      <c r="P40" t="inlineStr">
        <is>
          <t>D</t>
        </is>
      </c>
      <c r="Q40" t="inlineStr">
        <is>
          <t>J</t>
        </is>
      </c>
      <c r="R40" t="inlineStr">
        <is>
          <t>F</t>
        </is>
      </c>
      <c r="S40" t="inlineStr">
        <is>
          <t>I</t>
        </is>
      </c>
      <c r="T40" t="inlineStr">
        <is>
          <t>K</t>
        </is>
      </c>
    </row>
    <row r="41">
      <c r="L41" t="n">
        <v>3324</v>
      </c>
      <c r="M41" t="inlineStr">
        <is>
          <t>C</t>
        </is>
      </c>
      <c r="N41" t="inlineStr">
        <is>
          <t>G</t>
        </is>
      </c>
      <c r="O41" t="inlineStr">
        <is>
          <t>E</t>
        </is>
      </c>
      <c r="P41" t="inlineStr">
        <is>
          <t>D</t>
        </is>
      </c>
      <c r="Q41" t="inlineStr">
        <is>
          <t>H</t>
        </is>
      </c>
      <c r="R41" t="inlineStr">
        <is>
          <t>F</t>
        </is>
      </c>
      <c r="S41" t="inlineStr">
        <is>
          <t>L</t>
        </is>
      </c>
      <c r="T41" t="inlineStr">
        <is>
          <t>K</t>
        </is>
      </c>
    </row>
    <row r="42">
      <c r="L42" t="n">
        <v>2812</v>
      </c>
      <c r="M42" t="inlineStr">
        <is>
          <t>C</t>
        </is>
      </c>
      <c r="N42" t="inlineStr">
        <is>
          <t>G</t>
        </is>
      </c>
      <c r="O42" t="inlineStr">
        <is>
          <t>J</t>
        </is>
      </c>
      <c r="P42" t="inlineStr">
        <is>
          <t>D</t>
        </is>
      </c>
      <c r="Q42" t="inlineStr">
        <is>
          <t>H</t>
        </is>
      </c>
      <c r="R42" t="inlineStr">
        <is>
          <t>F</t>
        </is>
      </c>
      <c r="S42" t="inlineStr">
        <is>
          <t>L</t>
        </is>
      </c>
      <c r="T42" t="inlineStr">
        <is>
          <t>E</t>
        </is>
      </c>
    </row>
    <row r="43">
      <c r="L43" t="n">
        <v>1788</v>
      </c>
      <c r="M43" t="inlineStr">
        <is>
          <t>C</t>
        </is>
      </c>
      <c r="N43" t="inlineStr">
        <is>
          <t>G</t>
        </is>
      </c>
      <c r="O43" t="inlineStr">
        <is>
          <t>J</t>
        </is>
      </c>
      <c r="P43" t="inlineStr">
        <is>
          <t>D</t>
        </is>
      </c>
      <c r="Q43" t="inlineStr">
        <is>
          <t>H</t>
        </is>
      </c>
      <c r="R43" t="inlineStr">
        <is>
          <t>F</t>
        </is>
      </c>
      <c r="S43" t="inlineStr">
        <is>
          <t>E</t>
        </is>
      </c>
      <c r="T43" t="inlineStr">
        <is>
          <t>K</t>
        </is>
      </c>
    </row>
    <row r="44">
      <c r="L44" t="n">
        <v>2556</v>
      </c>
      <c r="M44" t="inlineStr">
        <is>
          <t>C</t>
        </is>
      </c>
      <c r="N44" t="inlineStr">
        <is>
          <t>G</t>
        </is>
      </c>
      <c r="O44" t="inlineStr">
        <is>
          <t>E</t>
        </is>
      </c>
      <c r="P44" t="inlineStr">
        <is>
          <t>D</t>
        </is>
      </c>
      <c r="Q44" t="inlineStr">
        <is>
          <t>H</t>
        </is>
      </c>
      <c r="R44" t="inlineStr">
        <is>
          <t>F</t>
        </is>
      </c>
      <c r="S44" t="inlineStr">
        <is>
          <t>L</t>
        </is>
      </c>
      <c r="T44" t="inlineStr">
        <is>
          <t>I</t>
        </is>
      </c>
    </row>
    <row r="45">
      <c r="L45" t="n">
        <v>1532</v>
      </c>
      <c r="M45" t="inlineStr">
        <is>
          <t>C</t>
        </is>
      </c>
      <c r="N45" t="inlineStr">
        <is>
          <t>G</t>
        </is>
      </c>
      <c r="O45" t="inlineStr">
        <is>
          <t>E</t>
        </is>
      </c>
      <c r="P45" t="inlineStr">
        <is>
          <t>D</t>
        </is>
      </c>
      <c r="Q45" t="inlineStr">
        <is>
          <t>H</t>
        </is>
      </c>
      <c r="R45" t="inlineStr">
        <is>
          <t>F</t>
        </is>
      </c>
      <c r="S45" t="inlineStr">
        <is>
          <t>I</t>
        </is>
      </c>
      <c r="T45" t="inlineStr">
        <is>
          <t>K</t>
        </is>
      </c>
    </row>
    <row r="46">
      <c r="L46" t="n">
        <v>1020</v>
      </c>
      <c r="M46" t="inlineStr">
        <is>
          <t>C</t>
        </is>
      </c>
      <c r="N46" t="inlineStr">
        <is>
          <t>G</t>
        </is>
      </c>
      <c r="O46" t="inlineStr">
        <is>
          <t>J</t>
        </is>
      </c>
      <c r="P46" t="inlineStr">
        <is>
          <t>D</t>
        </is>
      </c>
      <c r="Q46" t="inlineStr">
        <is>
          <t>H</t>
        </is>
      </c>
      <c r="R46" t="inlineStr">
        <is>
          <t>F</t>
        </is>
      </c>
      <c r="S46" t="inlineStr">
        <is>
          <t>E</t>
        </is>
      </c>
      <c r="T46" t="inlineStr">
        <is>
          <t>I</t>
        </is>
      </c>
    </row>
    <row r="47">
      <c r="L47" t="n">
        <v>4066</v>
      </c>
      <c r="M47" t="inlineStr">
        <is>
          <t>H</t>
        </is>
      </c>
      <c r="N47" t="inlineStr">
        <is>
          <t>J</t>
        </is>
      </c>
      <c r="O47" t="inlineStr">
        <is>
          <t>B</t>
        </is>
      </c>
      <c r="P47" t="inlineStr">
        <is>
          <t>F</t>
        </is>
      </c>
      <c r="Q47" t="inlineStr">
        <is>
          <t>I</t>
        </is>
      </c>
      <c r="R47" t="inlineStr">
        <is>
          <t>G</t>
        </is>
      </c>
      <c r="S47" t="inlineStr">
        <is>
          <t>L</t>
        </is>
      </c>
      <c r="T47" t="inlineStr">
        <is>
          <t>K</t>
        </is>
      </c>
    </row>
    <row r="48">
      <c r="L48" t="n">
        <v>4050</v>
      </c>
      <c r="M48" t="inlineStr">
        <is>
          <t>E</t>
        </is>
      </c>
      <c r="N48" t="inlineStr">
        <is>
          <t>J</t>
        </is>
      </c>
      <c r="O48" t="inlineStr">
        <is>
          <t>I</t>
        </is>
      </c>
      <c r="P48" t="inlineStr">
        <is>
          <t>B</t>
        </is>
      </c>
      <c r="Q48" t="inlineStr">
        <is>
          <t>H</t>
        </is>
      </c>
      <c r="R48" t="inlineStr">
        <is>
          <t>G</t>
        </is>
      </c>
      <c r="S48" t="inlineStr">
        <is>
          <t>L</t>
        </is>
      </c>
      <c r="T48" t="inlineStr">
        <is>
          <t>K</t>
        </is>
      </c>
    </row>
    <row r="49">
      <c r="L49" t="n">
        <v>4018</v>
      </c>
      <c r="M49" t="inlineStr">
        <is>
          <t>E</t>
        </is>
      </c>
      <c r="N49" t="inlineStr">
        <is>
          <t>J</t>
        </is>
      </c>
      <c r="O49" t="inlineStr">
        <is>
          <t>B</t>
        </is>
      </c>
      <c r="P49" t="inlineStr">
        <is>
          <t>F</t>
        </is>
      </c>
      <c r="Q49" t="inlineStr">
        <is>
          <t>I</t>
        </is>
      </c>
      <c r="R49" t="inlineStr">
        <is>
          <t>H</t>
        </is>
      </c>
      <c r="S49" t="inlineStr">
        <is>
          <t>L</t>
        </is>
      </c>
      <c r="T49" t="inlineStr">
        <is>
          <t>K</t>
        </is>
      </c>
    </row>
    <row r="50">
      <c r="L50" t="n">
        <v>3954</v>
      </c>
      <c r="M50" t="inlineStr">
        <is>
          <t>E</t>
        </is>
      </c>
      <c r="N50" t="inlineStr">
        <is>
          <t>J</t>
        </is>
      </c>
      <c r="O50" t="inlineStr">
        <is>
          <t>B</t>
        </is>
      </c>
      <c r="P50" t="inlineStr">
        <is>
          <t>F</t>
        </is>
      </c>
      <c r="Q50" t="inlineStr">
        <is>
          <t>I</t>
        </is>
      </c>
      <c r="R50" t="inlineStr">
        <is>
          <t>G</t>
        </is>
      </c>
      <c r="S50" t="inlineStr">
        <is>
          <t>L</t>
        </is>
      </c>
      <c r="T50" t="inlineStr">
        <is>
          <t>K</t>
        </is>
      </c>
    </row>
    <row r="51">
      <c r="L51" t="n">
        <v>3826</v>
      </c>
      <c r="M51" t="inlineStr">
        <is>
          <t>E</t>
        </is>
      </c>
      <c r="N51" t="inlineStr">
        <is>
          <t>J</t>
        </is>
      </c>
      <c r="O51" t="inlineStr">
        <is>
          <t>B</t>
        </is>
      </c>
      <c r="P51" t="inlineStr">
        <is>
          <t>F</t>
        </is>
      </c>
      <c r="Q51" t="inlineStr">
        <is>
          <t>H</t>
        </is>
      </c>
      <c r="R51" t="inlineStr">
        <is>
          <t>G</t>
        </is>
      </c>
      <c r="S51" t="inlineStr">
        <is>
          <t>L</t>
        </is>
      </c>
      <c r="T51" t="inlineStr">
        <is>
          <t>K</t>
        </is>
      </c>
    </row>
    <row r="52">
      <c r="L52" t="n">
        <v>3570</v>
      </c>
      <c r="M52" t="inlineStr">
        <is>
          <t>E</t>
        </is>
      </c>
      <c r="N52" t="inlineStr">
        <is>
          <t>G</t>
        </is>
      </c>
      <c r="O52" t="inlineStr">
        <is>
          <t>B</t>
        </is>
      </c>
      <c r="P52" t="inlineStr">
        <is>
          <t>F</t>
        </is>
      </c>
      <c r="Q52" t="inlineStr">
        <is>
          <t>I</t>
        </is>
      </c>
      <c r="R52" t="inlineStr">
        <is>
          <t>H</t>
        </is>
      </c>
      <c r="S52" t="inlineStr">
        <is>
          <t>L</t>
        </is>
      </c>
      <c r="T52" t="inlineStr">
        <is>
          <t>K</t>
        </is>
      </c>
    </row>
    <row r="53">
      <c r="L53" t="n">
        <v>3058</v>
      </c>
      <c r="M53" t="inlineStr">
        <is>
          <t>E</t>
        </is>
      </c>
      <c r="N53" t="inlineStr">
        <is>
          <t>J</t>
        </is>
      </c>
      <c r="O53" t="inlineStr">
        <is>
          <t>B</t>
        </is>
      </c>
      <c r="P53" t="inlineStr">
        <is>
          <t>F</t>
        </is>
      </c>
      <c r="Q53" t="inlineStr">
        <is>
          <t>H</t>
        </is>
      </c>
      <c r="R53" t="inlineStr">
        <is>
          <t>G</t>
        </is>
      </c>
      <c r="S53" t="inlineStr">
        <is>
          <t>L</t>
        </is>
      </c>
      <c r="T53" t="inlineStr">
        <is>
          <t>I</t>
        </is>
      </c>
    </row>
    <row r="54">
      <c r="L54" t="n">
        <v>2034</v>
      </c>
      <c r="M54" t="inlineStr">
        <is>
          <t>E</t>
        </is>
      </c>
      <c r="N54" t="inlineStr">
        <is>
          <t>J</t>
        </is>
      </c>
      <c r="O54" t="inlineStr">
        <is>
          <t>B</t>
        </is>
      </c>
      <c r="P54" t="inlineStr">
        <is>
          <t>F</t>
        </is>
      </c>
      <c r="Q54" t="inlineStr">
        <is>
          <t>H</t>
        </is>
      </c>
      <c r="R54" t="inlineStr">
        <is>
          <t>G</t>
        </is>
      </c>
      <c r="S54" t="inlineStr">
        <is>
          <t>I</t>
        </is>
      </c>
      <c r="T54" t="inlineStr">
        <is>
          <t>K</t>
        </is>
      </c>
    </row>
    <row r="55">
      <c r="L55" t="n">
        <v>4042</v>
      </c>
      <c r="M55" t="inlineStr">
        <is>
          <t>H</t>
        </is>
      </c>
      <c r="N55" t="inlineStr">
        <is>
          <t>J</t>
        </is>
      </c>
      <c r="O55" t="inlineStr">
        <is>
          <t>B</t>
        </is>
      </c>
      <c r="P55" t="inlineStr">
        <is>
          <t>D</t>
        </is>
      </c>
      <c r="Q55" t="inlineStr">
        <is>
          <t>I</t>
        </is>
      </c>
      <c r="R55" t="inlineStr">
        <is>
          <t>G</t>
        </is>
      </c>
      <c r="S55" t="inlineStr">
        <is>
          <t>L</t>
        </is>
      </c>
      <c r="T55" t="inlineStr">
        <is>
          <t>K</t>
        </is>
      </c>
    </row>
    <row r="56">
      <c r="L56" t="n">
        <v>4010</v>
      </c>
      <c r="M56" t="inlineStr">
        <is>
          <t>H</t>
        </is>
      </c>
      <c r="N56" t="inlineStr">
        <is>
          <t>J</t>
        </is>
      </c>
      <c r="O56" t="inlineStr">
        <is>
          <t>B</t>
        </is>
      </c>
      <c r="P56" t="inlineStr">
        <is>
          <t>D</t>
        </is>
      </c>
      <c r="Q56" t="inlineStr">
        <is>
          <t>I</t>
        </is>
      </c>
      <c r="R56" t="inlineStr">
        <is>
          <t>F</t>
        </is>
      </c>
      <c r="S56" t="inlineStr">
        <is>
          <t>L</t>
        </is>
      </c>
      <c r="T56" t="inlineStr">
        <is>
          <t>K</t>
        </is>
      </c>
    </row>
    <row r="57">
      <c r="L57" t="n">
        <v>3946</v>
      </c>
      <c r="M57" t="inlineStr">
        <is>
          <t>I</t>
        </is>
      </c>
      <c r="N57" t="inlineStr">
        <is>
          <t>G</t>
        </is>
      </c>
      <c r="O57" t="inlineStr">
        <is>
          <t>B</t>
        </is>
      </c>
      <c r="P57" t="inlineStr">
        <is>
          <t>D</t>
        </is>
      </c>
      <c r="Q57" t="inlineStr">
        <is>
          <t>J</t>
        </is>
      </c>
      <c r="R57" t="inlineStr">
        <is>
          <t>F</t>
        </is>
      </c>
      <c r="S57" t="inlineStr">
        <is>
          <t>L</t>
        </is>
      </c>
      <c r="T57" t="inlineStr">
        <is>
          <t>K</t>
        </is>
      </c>
    </row>
    <row r="58">
      <c r="L58" t="n">
        <v>3818</v>
      </c>
      <c r="M58" t="inlineStr">
        <is>
          <t>H</t>
        </is>
      </c>
      <c r="N58" t="inlineStr">
        <is>
          <t>G</t>
        </is>
      </c>
      <c r="O58" t="inlineStr">
        <is>
          <t>B</t>
        </is>
      </c>
      <c r="P58" t="inlineStr">
        <is>
          <t>D</t>
        </is>
      </c>
      <c r="Q58" t="inlineStr">
        <is>
          <t>J</t>
        </is>
      </c>
      <c r="R58" t="inlineStr">
        <is>
          <t>F</t>
        </is>
      </c>
      <c r="S58" t="inlineStr">
        <is>
          <t>L</t>
        </is>
      </c>
      <c r="T58" t="inlineStr">
        <is>
          <t>K</t>
        </is>
      </c>
    </row>
    <row r="59">
      <c r="L59" t="n">
        <v>3562</v>
      </c>
      <c r="M59" t="inlineStr">
        <is>
          <t>H</t>
        </is>
      </c>
      <c r="N59" t="inlineStr">
        <is>
          <t>G</t>
        </is>
      </c>
      <c r="O59" t="inlineStr">
        <is>
          <t>B</t>
        </is>
      </c>
      <c r="P59" t="inlineStr">
        <is>
          <t>D</t>
        </is>
      </c>
      <c r="Q59" t="inlineStr">
        <is>
          <t>I</t>
        </is>
      </c>
      <c r="R59" t="inlineStr">
        <is>
          <t>F</t>
        </is>
      </c>
      <c r="S59" t="inlineStr">
        <is>
          <t>L</t>
        </is>
      </c>
      <c r="T59" t="inlineStr">
        <is>
          <t>K</t>
        </is>
      </c>
    </row>
    <row r="60">
      <c r="L60" t="n">
        <v>3050</v>
      </c>
      <c r="M60" t="inlineStr">
        <is>
          <t>H</t>
        </is>
      </c>
      <c r="N60" t="inlineStr">
        <is>
          <t>G</t>
        </is>
      </c>
      <c r="O60" t="inlineStr">
        <is>
          <t>B</t>
        </is>
      </c>
      <c r="P60" t="inlineStr">
        <is>
          <t>D</t>
        </is>
      </c>
      <c r="Q60" t="inlineStr">
        <is>
          <t>J</t>
        </is>
      </c>
      <c r="R60" t="inlineStr">
        <is>
          <t>F</t>
        </is>
      </c>
      <c r="S60" t="inlineStr">
        <is>
          <t>L</t>
        </is>
      </c>
      <c r="T60" t="inlineStr">
        <is>
          <t>I</t>
        </is>
      </c>
    </row>
    <row r="61">
      <c r="L61" t="n">
        <v>2026</v>
      </c>
      <c r="M61" t="inlineStr">
        <is>
          <t>H</t>
        </is>
      </c>
      <c r="N61" t="inlineStr">
        <is>
          <t>G</t>
        </is>
      </c>
      <c r="O61" t="inlineStr">
        <is>
          <t>B</t>
        </is>
      </c>
      <c r="P61" t="inlineStr">
        <is>
          <t>D</t>
        </is>
      </c>
      <c r="Q61" t="inlineStr">
        <is>
          <t>J</t>
        </is>
      </c>
      <c r="R61" t="inlineStr">
        <is>
          <t>F</t>
        </is>
      </c>
      <c r="S61" t="inlineStr">
        <is>
          <t>I</t>
        </is>
      </c>
      <c r="T61" t="inlineStr">
        <is>
          <t>K</t>
        </is>
      </c>
    </row>
    <row r="62">
      <c r="L62" t="n">
        <v>3994</v>
      </c>
      <c r="M62" t="inlineStr">
        <is>
          <t>E</t>
        </is>
      </c>
      <c r="N62" t="inlineStr">
        <is>
          <t>J</t>
        </is>
      </c>
      <c r="O62" t="inlineStr">
        <is>
          <t>B</t>
        </is>
      </c>
      <c r="P62" t="inlineStr">
        <is>
          <t>D</t>
        </is>
      </c>
      <c r="Q62" t="inlineStr">
        <is>
          <t>I</t>
        </is>
      </c>
      <c r="R62" t="inlineStr">
        <is>
          <t>H</t>
        </is>
      </c>
      <c r="S62" t="inlineStr">
        <is>
          <t>L</t>
        </is>
      </c>
      <c r="T62" t="inlineStr">
        <is>
          <t>K</t>
        </is>
      </c>
    </row>
    <row r="63">
      <c r="L63" t="n">
        <v>3930</v>
      </c>
      <c r="M63" t="inlineStr">
        <is>
          <t>E</t>
        </is>
      </c>
      <c r="N63" t="inlineStr">
        <is>
          <t>J</t>
        </is>
      </c>
      <c r="O63" t="inlineStr">
        <is>
          <t>B</t>
        </is>
      </c>
      <c r="P63" t="inlineStr">
        <is>
          <t>D</t>
        </is>
      </c>
      <c r="Q63" t="inlineStr">
        <is>
          <t>I</t>
        </is>
      </c>
      <c r="R63" t="inlineStr">
        <is>
          <t>G</t>
        </is>
      </c>
      <c r="S63" t="inlineStr">
        <is>
          <t>L</t>
        </is>
      </c>
      <c r="T63" t="inlineStr">
        <is>
          <t>K</t>
        </is>
      </c>
    </row>
    <row r="64">
      <c r="L64" t="n">
        <v>3802</v>
      </c>
      <c r="M64" t="inlineStr">
        <is>
          <t>E</t>
        </is>
      </c>
      <c r="N64" t="inlineStr">
        <is>
          <t>J</t>
        </is>
      </c>
      <c r="O64" t="inlineStr">
        <is>
          <t>B</t>
        </is>
      </c>
      <c r="P64" t="inlineStr">
        <is>
          <t>D</t>
        </is>
      </c>
      <c r="Q64" t="inlineStr">
        <is>
          <t>H</t>
        </is>
      </c>
      <c r="R64" t="inlineStr">
        <is>
          <t>G</t>
        </is>
      </c>
      <c r="S64" t="inlineStr">
        <is>
          <t>L</t>
        </is>
      </c>
      <c r="T64" t="inlineStr">
        <is>
          <t>K</t>
        </is>
      </c>
    </row>
    <row r="65">
      <c r="L65" t="n">
        <v>3546</v>
      </c>
      <c r="M65" t="inlineStr">
        <is>
          <t>E</t>
        </is>
      </c>
      <c r="N65" t="inlineStr">
        <is>
          <t>G</t>
        </is>
      </c>
      <c r="O65" t="inlineStr">
        <is>
          <t>B</t>
        </is>
      </c>
      <c r="P65" t="inlineStr">
        <is>
          <t>D</t>
        </is>
      </c>
      <c r="Q65" t="inlineStr">
        <is>
          <t>I</t>
        </is>
      </c>
      <c r="R65" t="inlineStr">
        <is>
          <t>H</t>
        </is>
      </c>
      <c r="S65" t="inlineStr">
        <is>
          <t>L</t>
        </is>
      </c>
      <c r="T65" t="inlineStr">
        <is>
          <t>K</t>
        </is>
      </c>
    </row>
    <row r="66">
      <c r="L66" t="n">
        <v>3034</v>
      </c>
      <c r="M66" t="inlineStr">
        <is>
          <t>E</t>
        </is>
      </c>
      <c r="N66" t="inlineStr">
        <is>
          <t>J</t>
        </is>
      </c>
      <c r="O66" t="inlineStr">
        <is>
          <t>B</t>
        </is>
      </c>
      <c r="P66" t="inlineStr">
        <is>
          <t>D</t>
        </is>
      </c>
      <c r="Q66" t="inlineStr">
        <is>
          <t>H</t>
        </is>
      </c>
      <c r="R66" t="inlineStr">
        <is>
          <t>G</t>
        </is>
      </c>
      <c r="S66" t="inlineStr">
        <is>
          <t>L</t>
        </is>
      </c>
      <c r="T66" t="inlineStr">
        <is>
          <t>I</t>
        </is>
      </c>
    </row>
    <row r="67">
      <c r="L67" t="n">
        <v>2010</v>
      </c>
      <c r="M67" t="inlineStr">
        <is>
          <t>E</t>
        </is>
      </c>
      <c r="N67" t="inlineStr">
        <is>
          <t>J</t>
        </is>
      </c>
      <c r="O67" t="inlineStr">
        <is>
          <t>B</t>
        </is>
      </c>
      <c r="P67" t="inlineStr">
        <is>
          <t>D</t>
        </is>
      </c>
      <c r="Q67" t="inlineStr">
        <is>
          <t>H</t>
        </is>
      </c>
      <c r="R67" t="inlineStr">
        <is>
          <t>G</t>
        </is>
      </c>
      <c r="S67" t="inlineStr">
        <is>
          <t>I</t>
        </is>
      </c>
      <c r="T67" t="inlineStr">
        <is>
          <t>K</t>
        </is>
      </c>
    </row>
    <row r="68">
      <c r="L68" t="n">
        <v>3898</v>
      </c>
      <c r="M68" t="inlineStr">
        <is>
          <t>E</t>
        </is>
      </c>
      <c r="N68" t="inlineStr">
        <is>
          <t>J</t>
        </is>
      </c>
      <c r="O68" t="inlineStr">
        <is>
          <t>B</t>
        </is>
      </c>
      <c r="P68" t="inlineStr">
        <is>
          <t>D</t>
        </is>
      </c>
      <c r="Q68" t="inlineStr">
        <is>
          <t>I</t>
        </is>
      </c>
      <c r="R68" t="inlineStr">
        <is>
          <t>F</t>
        </is>
      </c>
      <c r="S68" t="inlineStr">
        <is>
          <t>L</t>
        </is>
      </c>
      <c r="T68" t="inlineStr">
        <is>
          <t>K</t>
        </is>
      </c>
    </row>
    <row r="69">
      <c r="L69" t="n">
        <v>3770</v>
      </c>
      <c r="M69" t="inlineStr">
        <is>
          <t>E</t>
        </is>
      </c>
      <c r="N69" t="inlineStr">
        <is>
          <t>J</t>
        </is>
      </c>
      <c r="O69" t="inlineStr">
        <is>
          <t>B</t>
        </is>
      </c>
      <c r="P69" t="inlineStr">
        <is>
          <t>D</t>
        </is>
      </c>
      <c r="Q69" t="inlineStr">
        <is>
          <t>H</t>
        </is>
      </c>
      <c r="R69" t="inlineStr">
        <is>
          <t>F</t>
        </is>
      </c>
      <c r="S69" t="inlineStr">
        <is>
          <t>L</t>
        </is>
      </c>
      <c r="T69" t="inlineStr">
        <is>
          <t>K</t>
        </is>
      </c>
    </row>
    <row r="70">
      <c r="L70" t="n">
        <v>3514</v>
      </c>
      <c r="M70" t="inlineStr">
        <is>
          <t>E</t>
        </is>
      </c>
      <c r="N70" t="inlineStr">
        <is>
          <t>I</t>
        </is>
      </c>
      <c r="O70" t="inlineStr">
        <is>
          <t>B</t>
        </is>
      </c>
      <c r="P70" t="inlineStr">
        <is>
          <t>D</t>
        </is>
      </c>
      <c r="Q70" t="inlineStr">
        <is>
          <t>H</t>
        </is>
      </c>
      <c r="R70" t="inlineStr">
        <is>
          <t>F</t>
        </is>
      </c>
      <c r="S70" t="inlineStr">
        <is>
          <t>L</t>
        </is>
      </c>
      <c r="T70" t="inlineStr">
        <is>
          <t>K</t>
        </is>
      </c>
    </row>
    <row r="71">
      <c r="L71" t="n">
        <v>3002</v>
      </c>
      <c r="M71" t="inlineStr">
        <is>
          <t>E</t>
        </is>
      </c>
      <c r="N71" t="inlineStr">
        <is>
          <t>J</t>
        </is>
      </c>
      <c r="O71" t="inlineStr">
        <is>
          <t>B</t>
        </is>
      </c>
      <c r="P71" t="inlineStr">
        <is>
          <t>D</t>
        </is>
      </c>
      <c r="Q71" t="inlineStr">
        <is>
          <t>H</t>
        </is>
      </c>
      <c r="R71" t="inlineStr">
        <is>
          <t>F</t>
        </is>
      </c>
      <c r="S71" t="inlineStr">
        <is>
          <t>L</t>
        </is>
      </c>
      <c r="T71" t="inlineStr">
        <is>
          <t>I</t>
        </is>
      </c>
    </row>
    <row r="72">
      <c r="L72" t="n">
        <v>1978</v>
      </c>
      <c r="M72" t="inlineStr">
        <is>
          <t>E</t>
        </is>
      </c>
      <c r="N72" t="inlineStr">
        <is>
          <t>J</t>
        </is>
      </c>
      <c r="O72" t="inlineStr">
        <is>
          <t>B</t>
        </is>
      </c>
      <c r="P72" t="inlineStr">
        <is>
          <t>D</t>
        </is>
      </c>
      <c r="Q72" t="inlineStr">
        <is>
          <t>H</t>
        </is>
      </c>
      <c r="R72" t="inlineStr">
        <is>
          <t>F</t>
        </is>
      </c>
      <c r="S72" t="inlineStr">
        <is>
          <t>I</t>
        </is>
      </c>
      <c r="T72" t="inlineStr">
        <is>
          <t>K</t>
        </is>
      </c>
    </row>
    <row r="73">
      <c r="L73" t="n">
        <v>3706</v>
      </c>
      <c r="M73" t="inlineStr">
        <is>
          <t>E</t>
        </is>
      </c>
      <c r="N73" t="inlineStr">
        <is>
          <t>G</t>
        </is>
      </c>
      <c r="O73" t="inlineStr">
        <is>
          <t>B</t>
        </is>
      </c>
      <c r="P73" t="inlineStr">
        <is>
          <t>D</t>
        </is>
      </c>
      <c r="Q73" t="inlineStr">
        <is>
          <t>J</t>
        </is>
      </c>
      <c r="R73" t="inlineStr">
        <is>
          <t>F</t>
        </is>
      </c>
      <c r="S73" t="inlineStr">
        <is>
          <t>L</t>
        </is>
      </c>
      <c r="T73" t="inlineStr">
        <is>
          <t>K</t>
        </is>
      </c>
    </row>
    <row r="74">
      <c r="L74" t="n">
        <v>3450</v>
      </c>
      <c r="M74" t="inlineStr">
        <is>
          <t>E</t>
        </is>
      </c>
      <c r="N74" t="inlineStr">
        <is>
          <t>G</t>
        </is>
      </c>
      <c r="O74" t="inlineStr">
        <is>
          <t>B</t>
        </is>
      </c>
      <c r="P74" t="inlineStr">
        <is>
          <t>D</t>
        </is>
      </c>
      <c r="Q74" t="inlineStr">
        <is>
          <t>I</t>
        </is>
      </c>
      <c r="R74" t="inlineStr">
        <is>
          <t>F</t>
        </is>
      </c>
      <c r="S74" t="inlineStr">
        <is>
          <t>L</t>
        </is>
      </c>
      <c r="T74" t="inlineStr">
        <is>
          <t>K</t>
        </is>
      </c>
    </row>
    <row r="75">
      <c r="L75" t="n">
        <v>2938</v>
      </c>
      <c r="M75" t="inlineStr">
        <is>
          <t>E</t>
        </is>
      </c>
      <c r="N75" t="inlineStr">
        <is>
          <t>G</t>
        </is>
      </c>
      <c r="O75" t="inlineStr">
        <is>
          <t>B</t>
        </is>
      </c>
      <c r="P75" t="inlineStr">
        <is>
          <t>D</t>
        </is>
      </c>
      <c r="Q75" t="inlineStr">
        <is>
          <t>J</t>
        </is>
      </c>
      <c r="R75" t="inlineStr">
        <is>
          <t>F</t>
        </is>
      </c>
      <c r="S75" t="inlineStr">
        <is>
          <t>L</t>
        </is>
      </c>
      <c r="T75" t="inlineStr">
        <is>
          <t>I</t>
        </is>
      </c>
    </row>
    <row r="76">
      <c r="L76" t="n">
        <v>1914</v>
      </c>
      <c r="M76" t="inlineStr">
        <is>
          <t>E</t>
        </is>
      </c>
      <c r="N76" t="inlineStr">
        <is>
          <t>G</t>
        </is>
      </c>
      <c r="O76" t="inlineStr">
        <is>
          <t>B</t>
        </is>
      </c>
      <c r="P76" t="inlineStr">
        <is>
          <t>D</t>
        </is>
      </c>
      <c r="Q76" t="inlineStr">
        <is>
          <t>J</t>
        </is>
      </c>
      <c r="R76" t="inlineStr">
        <is>
          <t>F</t>
        </is>
      </c>
      <c r="S76" t="inlineStr">
        <is>
          <t>I</t>
        </is>
      </c>
      <c r="T76" t="inlineStr">
        <is>
          <t>K</t>
        </is>
      </c>
    </row>
    <row r="77">
      <c r="L77" t="n">
        <v>3322</v>
      </c>
      <c r="M77" t="inlineStr">
        <is>
          <t>E</t>
        </is>
      </c>
      <c r="N77" t="inlineStr">
        <is>
          <t>G</t>
        </is>
      </c>
      <c r="O77" t="inlineStr">
        <is>
          <t>B</t>
        </is>
      </c>
      <c r="P77" t="inlineStr">
        <is>
          <t>D</t>
        </is>
      </c>
      <c r="Q77" t="inlineStr">
        <is>
          <t>H</t>
        </is>
      </c>
      <c r="R77" t="inlineStr">
        <is>
          <t>F</t>
        </is>
      </c>
      <c r="S77" t="inlineStr">
        <is>
          <t>L</t>
        </is>
      </c>
      <c r="T77" t="inlineStr">
        <is>
          <t>K</t>
        </is>
      </c>
    </row>
    <row r="78">
      <c r="L78" t="n">
        <v>2810</v>
      </c>
      <c r="M78" t="inlineStr">
        <is>
          <t>H</t>
        </is>
      </c>
      <c r="N78" t="inlineStr">
        <is>
          <t>G</t>
        </is>
      </c>
      <c r="O78" t="inlineStr">
        <is>
          <t>B</t>
        </is>
      </c>
      <c r="P78" t="inlineStr">
        <is>
          <t>D</t>
        </is>
      </c>
      <c r="Q78" t="inlineStr">
        <is>
          <t>J</t>
        </is>
      </c>
      <c r="R78" t="inlineStr">
        <is>
          <t>F</t>
        </is>
      </c>
      <c r="S78" t="inlineStr">
        <is>
          <t>L</t>
        </is>
      </c>
      <c r="T78" t="inlineStr">
        <is>
          <t>E</t>
        </is>
      </c>
    </row>
    <row r="79">
      <c r="L79" t="n">
        <v>1786</v>
      </c>
      <c r="M79" t="inlineStr">
        <is>
          <t>H</t>
        </is>
      </c>
      <c r="N79" t="inlineStr">
        <is>
          <t>G</t>
        </is>
      </c>
      <c r="O79" t="inlineStr">
        <is>
          <t>B</t>
        </is>
      </c>
      <c r="P79" t="inlineStr">
        <is>
          <t>D</t>
        </is>
      </c>
      <c r="Q79" t="inlineStr">
        <is>
          <t>J</t>
        </is>
      </c>
      <c r="R79" t="inlineStr">
        <is>
          <t>F</t>
        </is>
      </c>
      <c r="S79" t="inlineStr">
        <is>
          <t>E</t>
        </is>
      </c>
      <c r="T79" t="inlineStr">
        <is>
          <t>K</t>
        </is>
      </c>
    </row>
    <row r="80">
      <c r="L80" t="n">
        <v>2554</v>
      </c>
      <c r="M80" t="inlineStr">
        <is>
          <t>E</t>
        </is>
      </c>
      <c r="N80" t="inlineStr">
        <is>
          <t>G</t>
        </is>
      </c>
      <c r="O80" t="inlineStr">
        <is>
          <t>B</t>
        </is>
      </c>
      <c r="P80" t="inlineStr">
        <is>
          <t>D</t>
        </is>
      </c>
      <c r="Q80" t="inlineStr">
        <is>
          <t>H</t>
        </is>
      </c>
      <c r="R80" t="inlineStr">
        <is>
          <t>F</t>
        </is>
      </c>
      <c r="S80" t="inlineStr">
        <is>
          <t>L</t>
        </is>
      </c>
      <c r="T80" t="inlineStr">
        <is>
          <t>I</t>
        </is>
      </c>
    </row>
    <row r="81">
      <c r="L81" t="n">
        <v>1530</v>
      </c>
      <c r="M81" t="inlineStr">
        <is>
          <t>E</t>
        </is>
      </c>
      <c r="N81" t="inlineStr">
        <is>
          <t>G</t>
        </is>
      </c>
      <c r="O81" t="inlineStr">
        <is>
          <t>B</t>
        </is>
      </c>
      <c r="P81" t="inlineStr">
        <is>
          <t>D</t>
        </is>
      </c>
      <c r="Q81" t="inlineStr">
        <is>
          <t>H</t>
        </is>
      </c>
      <c r="R81" t="inlineStr">
        <is>
          <t>F</t>
        </is>
      </c>
      <c r="S81" t="inlineStr">
        <is>
          <t>I</t>
        </is>
      </c>
      <c r="T81" t="inlineStr">
        <is>
          <t>K</t>
        </is>
      </c>
    </row>
    <row r="82">
      <c r="L82" t="n">
        <v>1018</v>
      </c>
      <c r="M82" t="inlineStr">
        <is>
          <t>H</t>
        </is>
      </c>
      <c r="N82" t="inlineStr">
        <is>
          <t>G</t>
        </is>
      </c>
      <c r="O82" t="inlineStr">
        <is>
          <t>B</t>
        </is>
      </c>
      <c r="P82" t="inlineStr">
        <is>
          <t>D</t>
        </is>
      </c>
      <c r="Q82" t="inlineStr">
        <is>
          <t>J</t>
        </is>
      </c>
      <c r="R82" t="inlineStr">
        <is>
          <t>F</t>
        </is>
      </c>
      <c r="S82" t="inlineStr">
        <is>
          <t>E</t>
        </is>
      </c>
      <c r="T82" t="inlineStr">
        <is>
          <t>I</t>
        </is>
      </c>
    </row>
    <row r="83">
      <c r="L83" t="n">
        <v>4038</v>
      </c>
      <c r="M83" t="inlineStr">
        <is>
          <t>H</t>
        </is>
      </c>
      <c r="N83" t="inlineStr">
        <is>
          <t>J</t>
        </is>
      </c>
      <c r="O83" t="inlineStr">
        <is>
          <t>B</t>
        </is>
      </c>
      <c r="P83" t="inlineStr">
        <is>
          <t>C</t>
        </is>
      </c>
      <c r="Q83" t="inlineStr">
        <is>
          <t>I</t>
        </is>
      </c>
      <c r="R83" t="inlineStr">
        <is>
          <t>G</t>
        </is>
      </c>
      <c r="S83" t="inlineStr">
        <is>
          <t>L</t>
        </is>
      </c>
      <c r="T83" t="inlineStr">
        <is>
          <t>K</t>
        </is>
      </c>
    </row>
    <row r="84">
      <c r="L84" t="n">
        <v>4006</v>
      </c>
      <c r="M84" t="inlineStr">
        <is>
          <t>H</t>
        </is>
      </c>
      <c r="N84" t="inlineStr">
        <is>
          <t>J</t>
        </is>
      </c>
      <c r="O84" t="inlineStr">
        <is>
          <t>B</t>
        </is>
      </c>
      <c r="P84" t="inlineStr">
        <is>
          <t>C</t>
        </is>
      </c>
      <c r="Q84" t="inlineStr">
        <is>
          <t>I</t>
        </is>
      </c>
      <c r="R84" t="inlineStr">
        <is>
          <t>F</t>
        </is>
      </c>
      <c r="S84" t="inlineStr">
        <is>
          <t>L</t>
        </is>
      </c>
      <c r="T84" t="inlineStr">
        <is>
          <t>K</t>
        </is>
      </c>
    </row>
    <row r="85">
      <c r="L85" t="n">
        <v>3942</v>
      </c>
      <c r="M85" t="inlineStr">
        <is>
          <t>I</t>
        </is>
      </c>
      <c r="N85" t="inlineStr">
        <is>
          <t>G</t>
        </is>
      </c>
      <c r="O85" t="inlineStr">
        <is>
          <t>B</t>
        </is>
      </c>
      <c r="P85" t="inlineStr">
        <is>
          <t>C</t>
        </is>
      </c>
      <c r="Q85" t="inlineStr">
        <is>
          <t>J</t>
        </is>
      </c>
      <c r="R85" t="inlineStr">
        <is>
          <t>F</t>
        </is>
      </c>
      <c r="S85" t="inlineStr">
        <is>
          <t>L</t>
        </is>
      </c>
      <c r="T85" t="inlineStr">
        <is>
          <t>K</t>
        </is>
      </c>
    </row>
    <row r="86">
      <c r="L86" t="n">
        <v>3814</v>
      </c>
      <c r="M86" t="inlineStr">
        <is>
          <t>H</t>
        </is>
      </c>
      <c r="N86" t="inlineStr">
        <is>
          <t>G</t>
        </is>
      </c>
      <c r="O86" t="inlineStr">
        <is>
          <t>B</t>
        </is>
      </c>
      <c r="P86" t="inlineStr">
        <is>
          <t>C</t>
        </is>
      </c>
      <c r="Q86" t="inlineStr">
        <is>
          <t>J</t>
        </is>
      </c>
      <c r="R86" t="inlineStr">
        <is>
          <t>F</t>
        </is>
      </c>
      <c r="S86" t="inlineStr">
        <is>
          <t>L</t>
        </is>
      </c>
      <c r="T86" t="inlineStr">
        <is>
          <t>K</t>
        </is>
      </c>
    </row>
    <row r="87">
      <c r="L87" t="n">
        <v>3558</v>
      </c>
      <c r="M87" t="inlineStr">
        <is>
          <t>H</t>
        </is>
      </c>
      <c r="N87" t="inlineStr">
        <is>
          <t>G</t>
        </is>
      </c>
      <c r="O87" t="inlineStr">
        <is>
          <t>B</t>
        </is>
      </c>
      <c r="P87" t="inlineStr">
        <is>
          <t>C</t>
        </is>
      </c>
      <c r="Q87" t="inlineStr">
        <is>
          <t>I</t>
        </is>
      </c>
      <c r="R87" t="inlineStr">
        <is>
          <t>F</t>
        </is>
      </c>
      <c r="S87" t="inlineStr">
        <is>
          <t>L</t>
        </is>
      </c>
      <c r="T87" t="inlineStr">
        <is>
          <t>K</t>
        </is>
      </c>
    </row>
    <row r="88">
      <c r="L88" t="n">
        <v>3046</v>
      </c>
      <c r="M88" t="inlineStr">
        <is>
          <t>H</t>
        </is>
      </c>
      <c r="N88" t="inlineStr">
        <is>
          <t>G</t>
        </is>
      </c>
      <c r="O88" t="inlineStr">
        <is>
          <t>B</t>
        </is>
      </c>
      <c r="P88" t="inlineStr">
        <is>
          <t>C</t>
        </is>
      </c>
      <c r="Q88" t="inlineStr">
        <is>
          <t>J</t>
        </is>
      </c>
      <c r="R88" t="inlineStr">
        <is>
          <t>F</t>
        </is>
      </c>
      <c r="S88" t="inlineStr">
        <is>
          <t>L</t>
        </is>
      </c>
      <c r="T88" t="inlineStr">
        <is>
          <t>I</t>
        </is>
      </c>
    </row>
    <row r="89">
      <c r="L89" t="n">
        <v>2022</v>
      </c>
      <c r="M89" t="inlineStr">
        <is>
          <t>H</t>
        </is>
      </c>
      <c r="N89" t="inlineStr">
        <is>
          <t>G</t>
        </is>
      </c>
      <c r="O89" t="inlineStr">
        <is>
          <t>B</t>
        </is>
      </c>
      <c r="P89" t="inlineStr">
        <is>
          <t>C</t>
        </is>
      </c>
      <c r="Q89" t="inlineStr">
        <is>
          <t>J</t>
        </is>
      </c>
      <c r="R89" t="inlineStr">
        <is>
          <t>F</t>
        </is>
      </c>
      <c r="S89" t="inlineStr">
        <is>
          <t>I</t>
        </is>
      </c>
      <c r="T89" t="inlineStr">
        <is>
          <t>K</t>
        </is>
      </c>
    </row>
    <row r="90">
      <c r="L90" t="n">
        <v>3990</v>
      </c>
      <c r="M90" t="inlineStr">
        <is>
          <t>E</t>
        </is>
      </c>
      <c r="N90" t="inlineStr">
        <is>
          <t>J</t>
        </is>
      </c>
      <c r="O90" t="inlineStr">
        <is>
          <t>B</t>
        </is>
      </c>
      <c r="P90" t="inlineStr">
        <is>
          <t>C</t>
        </is>
      </c>
      <c r="Q90" t="inlineStr">
        <is>
          <t>I</t>
        </is>
      </c>
      <c r="R90" t="inlineStr">
        <is>
          <t>H</t>
        </is>
      </c>
      <c r="S90" t="inlineStr">
        <is>
          <t>L</t>
        </is>
      </c>
      <c r="T90" t="inlineStr">
        <is>
          <t>K</t>
        </is>
      </c>
    </row>
    <row r="91">
      <c r="L91" t="n">
        <v>3926</v>
      </c>
      <c r="M91" t="inlineStr">
        <is>
          <t>E</t>
        </is>
      </c>
      <c r="N91" t="inlineStr">
        <is>
          <t>J</t>
        </is>
      </c>
      <c r="O91" t="inlineStr">
        <is>
          <t>B</t>
        </is>
      </c>
      <c r="P91" t="inlineStr">
        <is>
          <t>C</t>
        </is>
      </c>
      <c r="Q91" t="inlineStr">
        <is>
          <t>I</t>
        </is>
      </c>
      <c r="R91" t="inlineStr">
        <is>
          <t>G</t>
        </is>
      </c>
      <c r="S91" t="inlineStr">
        <is>
          <t>L</t>
        </is>
      </c>
      <c r="T91" t="inlineStr">
        <is>
          <t>K</t>
        </is>
      </c>
    </row>
    <row r="92">
      <c r="L92" t="n">
        <v>3798</v>
      </c>
      <c r="M92" t="inlineStr">
        <is>
          <t>E</t>
        </is>
      </c>
      <c r="N92" t="inlineStr">
        <is>
          <t>J</t>
        </is>
      </c>
      <c r="O92" t="inlineStr">
        <is>
          <t>B</t>
        </is>
      </c>
      <c r="P92" t="inlineStr">
        <is>
          <t>C</t>
        </is>
      </c>
      <c r="Q92" t="inlineStr">
        <is>
          <t>H</t>
        </is>
      </c>
      <c r="R92" t="inlineStr">
        <is>
          <t>G</t>
        </is>
      </c>
      <c r="S92" t="inlineStr">
        <is>
          <t>L</t>
        </is>
      </c>
      <c r="T92" t="inlineStr">
        <is>
          <t>K</t>
        </is>
      </c>
    </row>
    <row r="93">
      <c r="L93" t="n">
        <v>3542</v>
      </c>
      <c r="M93" t="inlineStr">
        <is>
          <t>E</t>
        </is>
      </c>
      <c r="N93" t="inlineStr">
        <is>
          <t>G</t>
        </is>
      </c>
      <c r="O93" t="inlineStr">
        <is>
          <t>B</t>
        </is>
      </c>
      <c r="P93" t="inlineStr">
        <is>
          <t>C</t>
        </is>
      </c>
      <c r="Q93" t="inlineStr">
        <is>
          <t>I</t>
        </is>
      </c>
      <c r="R93" t="inlineStr">
        <is>
          <t>H</t>
        </is>
      </c>
      <c r="S93" t="inlineStr">
        <is>
          <t>L</t>
        </is>
      </c>
      <c r="T93" t="inlineStr">
        <is>
          <t>K</t>
        </is>
      </c>
    </row>
    <row r="94">
      <c r="L94" t="n">
        <v>3030</v>
      </c>
      <c r="M94" t="inlineStr">
        <is>
          <t>E</t>
        </is>
      </c>
      <c r="N94" t="inlineStr">
        <is>
          <t>J</t>
        </is>
      </c>
      <c r="O94" t="inlineStr">
        <is>
          <t>B</t>
        </is>
      </c>
      <c r="P94" t="inlineStr">
        <is>
          <t>C</t>
        </is>
      </c>
      <c r="Q94" t="inlineStr">
        <is>
          <t>H</t>
        </is>
      </c>
      <c r="R94" t="inlineStr">
        <is>
          <t>G</t>
        </is>
      </c>
      <c r="S94" t="inlineStr">
        <is>
          <t>L</t>
        </is>
      </c>
      <c r="T94" t="inlineStr">
        <is>
          <t>I</t>
        </is>
      </c>
    </row>
    <row r="95">
      <c r="L95" t="n">
        <v>2006</v>
      </c>
      <c r="M95" t="inlineStr">
        <is>
          <t>E</t>
        </is>
      </c>
      <c r="N95" t="inlineStr">
        <is>
          <t>J</t>
        </is>
      </c>
      <c r="O95" t="inlineStr">
        <is>
          <t>B</t>
        </is>
      </c>
      <c r="P95" t="inlineStr">
        <is>
          <t>C</t>
        </is>
      </c>
      <c r="Q95" t="inlineStr">
        <is>
          <t>H</t>
        </is>
      </c>
      <c r="R95" t="inlineStr">
        <is>
          <t>G</t>
        </is>
      </c>
      <c r="S95" t="inlineStr">
        <is>
          <t>I</t>
        </is>
      </c>
      <c r="T95" t="inlineStr">
        <is>
          <t>K</t>
        </is>
      </c>
    </row>
    <row r="96">
      <c r="L96" t="n">
        <v>3894</v>
      </c>
      <c r="M96" t="inlineStr">
        <is>
          <t>E</t>
        </is>
      </c>
      <c r="N96" t="inlineStr">
        <is>
          <t>J</t>
        </is>
      </c>
      <c r="O96" t="inlineStr">
        <is>
          <t>B</t>
        </is>
      </c>
      <c r="P96" t="inlineStr">
        <is>
          <t>C</t>
        </is>
      </c>
      <c r="Q96" t="inlineStr">
        <is>
          <t>I</t>
        </is>
      </c>
      <c r="R96" t="inlineStr">
        <is>
          <t>F</t>
        </is>
      </c>
      <c r="S96" t="inlineStr">
        <is>
          <t>L</t>
        </is>
      </c>
      <c r="T96" t="inlineStr">
        <is>
          <t>K</t>
        </is>
      </c>
    </row>
    <row r="97">
      <c r="L97" t="n">
        <v>3766</v>
      </c>
      <c r="M97" t="inlineStr">
        <is>
          <t>E</t>
        </is>
      </c>
      <c r="N97" t="inlineStr">
        <is>
          <t>J</t>
        </is>
      </c>
      <c r="O97" t="inlineStr">
        <is>
          <t>B</t>
        </is>
      </c>
      <c r="P97" t="inlineStr">
        <is>
          <t>C</t>
        </is>
      </c>
      <c r="Q97" t="inlineStr">
        <is>
          <t>H</t>
        </is>
      </c>
      <c r="R97" t="inlineStr">
        <is>
          <t>F</t>
        </is>
      </c>
      <c r="S97" t="inlineStr">
        <is>
          <t>L</t>
        </is>
      </c>
      <c r="T97" t="inlineStr">
        <is>
          <t>K</t>
        </is>
      </c>
    </row>
    <row r="98">
      <c r="L98" t="n">
        <v>3510</v>
      </c>
      <c r="M98" t="inlineStr">
        <is>
          <t>E</t>
        </is>
      </c>
      <c r="N98" t="inlineStr">
        <is>
          <t>I</t>
        </is>
      </c>
      <c r="O98" t="inlineStr">
        <is>
          <t>B</t>
        </is>
      </c>
      <c r="P98" t="inlineStr">
        <is>
          <t>C</t>
        </is>
      </c>
      <c r="Q98" t="inlineStr">
        <is>
          <t>H</t>
        </is>
      </c>
      <c r="R98" t="inlineStr">
        <is>
          <t>F</t>
        </is>
      </c>
      <c r="S98" t="inlineStr">
        <is>
          <t>L</t>
        </is>
      </c>
      <c r="T98" t="inlineStr">
        <is>
          <t>K</t>
        </is>
      </c>
    </row>
    <row r="99">
      <c r="L99" t="n">
        <v>2998</v>
      </c>
      <c r="M99" t="inlineStr">
        <is>
          <t>E</t>
        </is>
      </c>
      <c r="N99" t="inlineStr">
        <is>
          <t>J</t>
        </is>
      </c>
      <c r="O99" t="inlineStr">
        <is>
          <t>B</t>
        </is>
      </c>
      <c r="P99" t="inlineStr">
        <is>
          <t>C</t>
        </is>
      </c>
      <c r="Q99" t="inlineStr">
        <is>
          <t>H</t>
        </is>
      </c>
      <c r="R99" t="inlineStr">
        <is>
          <t>F</t>
        </is>
      </c>
      <c r="S99" t="inlineStr">
        <is>
          <t>L</t>
        </is>
      </c>
      <c r="T99" t="inlineStr">
        <is>
          <t>I</t>
        </is>
      </c>
    </row>
    <row r="100">
      <c r="L100" t="n">
        <v>1974</v>
      </c>
      <c r="M100" t="inlineStr">
        <is>
          <t>E</t>
        </is>
      </c>
      <c r="N100" t="inlineStr">
        <is>
          <t>J</t>
        </is>
      </c>
      <c r="O100" t="inlineStr">
        <is>
          <t>B</t>
        </is>
      </c>
      <c r="P100" t="inlineStr">
        <is>
          <t>C</t>
        </is>
      </c>
      <c r="Q100" t="inlineStr">
        <is>
          <t>H</t>
        </is>
      </c>
      <c r="R100" t="inlineStr">
        <is>
          <t>F</t>
        </is>
      </c>
      <c r="S100" t="inlineStr">
        <is>
          <t>I</t>
        </is>
      </c>
      <c r="T100" t="inlineStr">
        <is>
          <t>K</t>
        </is>
      </c>
    </row>
    <row r="101">
      <c r="L101" t="n">
        <v>3702</v>
      </c>
      <c r="M101" t="inlineStr">
        <is>
          <t>E</t>
        </is>
      </c>
      <c r="N101" t="inlineStr">
        <is>
          <t>G</t>
        </is>
      </c>
      <c r="O101" t="inlineStr">
        <is>
          <t>B</t>
        </is>
      </c>
      <c r="P101" t="inlineStr">
        <is>
          <t>C</t>
        </is>
      </c>
      <c r="Q101" t="inlineStr">
        <is>
          <t>J</t>
        </is>
      </c>
      <c r="R101" t="inlineStr">
        <is>
          <t>F</t>
        </is>
      </c>
      <c r="S101" t="inlineStr">
        <is>
          <t>L</t>
        </is>
      </c>
      <c r="T101" t="inlineStr">
        <is>
          <t>K</t>
        </is>
      </c>
    </row>
    <row r="102">
      <c r="L102" t="n">
        <v>3446</v>
      </c>
      <c r="M102" t="inlineStr">
        <is>
          <t>E</t>
        </is>
      </c>
      <c r="N102" t="inlineStr">
        <is>
          <t>G</t>
        </is>
      </c>
      <c r="O102" t="inlineStr">
        <is>
          <t>B</t>
        </is>
      </c>
      <c r="P102" t="inlineStr">
        <is>
          <t>C</t>
        </is>
      </c>
      <c r="Q102" t="inlineStr">
        <is>
          <t>I</t>
        </is>
      </c>
      <c r="R102" t="inlineStr">
        <is>
          <t>F</t>
        </is>
      </c>
      <c r="S102" t="inlineStr">
        <is>
          <t>L</t>
        </is>
      </c>
      <c r="T102" t="inlineStr">
        <is>
          <t>K</t>
        </is>
      </c>
    </row>
    <row r="103">
      <c r="L103" t="n">
        <v>2934</v>
      </c>
      <c r="M103" t="inlineStr">
        <is>
          <t>E</t>
        </is>
      </c>
      <c r="N103" t="inlineStr">
        <is>
          <t>G</t>
        </is>
      </c>
      <c r="O103" t="inlineStr">
        <is>
          <t>B</t>
        </is>
      </c>
      <c r="P103" t="inlineStr">
        <is>
          <t>C</t>
        </is>
      </c>
      <c r="Q103" t="inlineStr">
        <is>
          <t>J</t>
        </is>
      </c>
      <c r="R103" t="inlineStr">
        <is>
          <t>F</t>
        </is>
      </c>
      <c r="S103" t="inlineStr">
        <is>
          <t>L</t>
        </is>
      </c>
      <c r="T103" t="inlineStr">
        <is>
          <t>I</t>
        </is>
      </c>
    </row>
    <row r="104">
      <c r="L104" t="n">
        <v>1910</v>
      </c>
      <c r="M104" t="inlineStr">
        <is>
          <t>E</t>
        </is>
      </c>
      <c r="N104" t="inlineStr">
        <is>
          <t>G</t>
        </is>
      </c>
      <c r="O104" t="inlineStr">
        <is>
          <t>B</t>
        </is>
      </c>
      <c r="P104" t="inlineStr">
        <is>
          <t>C</t>
        </is>
      </c>
      <c r="Q104" t="inlineStr">
        <is>
          <t>J</t>
        </is>
      </c>
      <c r="R104" t="inlineStr">
        <is>
          <t>F</t>
        </is>
      </c>
      <c r="S104" t="inlineStr">
        <is>
          <t>I</t>
        </is>
      </c>
      <c r="T104" t="inlineStr">
        <is>
          <t>K</t>
        </is>
      </c>
    </row>
    <row r="105">
      <c r="L105" t="n">
        <v>3318</v>
      </c>
      <c r="M105" t="inlineStr">
        <is>
          <t>E</t>
        </is>
      </c>
      <c r="N105" t="inlineStr">
        <is>
          <t>G</t>
        </is>
      </c>
      <c r="O105" t="inlineStr">
        <is>
          <t>B</t>
        </is>
      </c>
      <c r="P105" t="inlineStr">
        <is>
          <t>C</t>
        </is>
      </c>
      <c r="Q105" t="inlineStr">
        <is>
          <t>H</t>
        </is>
      </c>
      <c r="R105" t="inlineStr">
        <is>
          <t>F</t>
        </is>
      </c>
      <c r="S105" t="inlineStr">
        <is>
          <t>L</t>
        </is>
      </c>
      <c r="T105" t="inlineStr">
        <is>
          <t>K</t>
        </is>
      </c>
    </row>
    <row r="106">
      <c r="L106" t="n">
        <v>2806</v>
      </c>
      <c r="M106" t="inlineStr">
        <is>
          <t>H</t>
        </is>
      </c>
      <c r="N106" t="inlineStr">
        <is>
          <t>G</t>
        </is>
      </c>
      <c r="O106" t="inlineStr">
        <is>
          <t>B</t>
        </is>
      </c>
      <c r="P106" t="inlineStr">
        <is>
          <t>C</t>
        </is>
      </c>
      <c r="Q106" t="inlineStr">
        <is>
          <t>J</t>
        </is>
      </c>
      <c r="R106" t="inlineStr">
        <is>
          <t>F</t>
        </is>
      </c>
      <c r="S106" t="inlineStr">
        <is>
          <t>L</t>
        </is>
      </c>
      <c r="T106" t="inlineStr">
        <is>
          <t>E</t>
        </is>
      </c>
    </row>
    <row r="107">
      <c r="L107" t="n">
        <v>1782</v>
      </c>
      <c r="M107" t="inlineStr">
        <is>
          <t>H</t>
        </is>
      </c>
      <c r="N107" t="inlineStr">
        <is>
          <t>G</t>
        </is>
      </c>
      <c r="O107" t="inlineStr">
        <is>
          <t>B</t>
        </is>
      </c>
      <c r="P107" t="inlineStr">
        <is>
          <t>C</t>
        </is>
      </c>
      <c r="Q107" t="inlineStr">
        <is>
          <t>J</t>
        </is>
      </c>
      <c r="R107" t="inlineStr">
        <is>
          <t>F</t>
        </is>
      </c>
      <c r="S107" t="inlineStr">
        <is>
          <t>E</t>
        </is>
      </c>
      <c r="T107" t="inlineStr">
        <is>
          <t>K</t>
        </is>
      </c>
    </row>
    <row r="108">
      <c r="L108" t="n">
        <v>2550</v>
      </c>
      <c r="M108" t="inlineStr">
        <is>
          <t>E</t>
        </is>
      </c>
      <c r="N108" t="inlineStr">
        <is>
          <t>G</t>
        </is>
      </c>
      <c r="O108" t="inlineStr">
        <is>
          <t>B</t>
        </is>
      </c>
      <c r="P108" t="inlineStr">
        <is>
          <t>C</t>
        </is>
      </c>
      <c r="Q108" t="inlineStr">
        <is>
          <t>H</t>
        </is>
      </c>
      <c r="R108" t="inlineStr">
        <is>
          <t>F</t>
        </is>
      </c>
      <c r="S108" t="inlineStr">
        <is>
          <t>L</t>
        </is>
      </c>
      <c r="T108" t="inlineStr">
        <is>
          <t>I</t>
        </is>
      </c>
    </row>
    <row r="109">
      <c r="L109" t="n">
        <v>1526</v>
      </c>
      <c r="M109" t="inlineStr">
        <is>
          <t>E</t>
        </is>
      </c>
      <c r="N109" t="inlineStr">
        <is>
          <t>G</t>
        </is>
      </c>
      <c r="O109" t="inlineStr">
        <is>
          <t>B</t>
        </is>
      </c>
      <c r="P109" t="inlineStr">
        <is>
          <t>C</t>
        </is>
      </c>
      <c r="Q109" t="inlineStr">
        <is>
          <t>H</t>
        </is>
      </c>
      <c r="R109" t="inlineStr">
        <is>
          <t>F</t>
        </is>
      </c>
      <c r="S109" t="inlineStr">
        <is>
          <t>I</t>
        </is>
      </c>
      <c r="T109" t="inlineStr">
        <is>
          <t>K</t>
        </is>
      </c>
    </row>
    <row r="110">
      <c r="L110" t="n">
        <v>1014</v>
      </c>
      <c r="M110" t="inlineStr">
        <is>
          <t>H</t>
        </is>
      </c>
      <c r="N110" t="inlineStr">
        <is>
          <t>G</t>
        </is>
      </c>
      <c r="O110" t="inlineStr">
        <is>
          <t>B</t>
        </is>
      </c>
      <c r="P110" t="inlineStr">
        <is>
          <t>C</t>
        </is>
      </c>
      <c r="Q110" t="inlineStr">
        <is>
          <t>J</t>
        </is>
      </c>
      <c r="R110" t="inlineStr">
        <is>
          <t>F</t>
        </is>
      </c>
      <c r="S110" t="inlineStr">
        <is>
          <t>E</t>
        </is>
      </c>
      <c r="T110" t="inlineStr">
        <is>
          <t>I</t>
        </is>
      </c>
    </row>
    <row r="111">
      <c r="L111" t="n">
        <v>3982</v>
      </c>
      <c r="M111" t="inlineStr">
        <is>
          <t>H</t>
        </is>
      </c>
      <c r="N111" t="inlineStr">
        <is>
          <t>J</t>
        </is>
      </c>
      <c r="O111" t="inlineStr">
        <is>
          <t>B</t>
        </is>
      </c>
      <c r="P111" t="inlineStr">
        <is>
          <t>C</t>
        </is>
      </c>
      <c r="Q111" t="inlineStr">
        <is>
          <t>I</t>
        </is>
      </c>
      <c r="R111" t="inlineStr">
        <is>
          <t>D</t>
        </is>
      </c>
      <c r="S111" t="inlineStr">
        <is>
          <t>L</t>
        </is>
      </c>
      <c r="T111" t="inlineStr">
        <is>
          <t>K</t>
        </is>
      </c>
    </row>
    <row r="112">
      <c r="L112" t="n">
        <v>3918</v>
      </c>
      <c r="M112" t="inlineStr">
        <is>
          <t>I</t>
        </is>
      </c>
      <c r="N112" t="inlineStr">
        <is>
          <t>G</t>
        </is>
      </c>
      <c r="O112" t="inlineStr">
        <is>
          <t>B</t>
        </is>
      </c>
      <c r="P112" t="inlineStr">
        <is>
          <t>C</t>
        </is>
      </c>
      <c r="Q112" t="inlineStr">
        <is>
          <t>J</t>
        </is>
      </c>
      <c r="R112" t="inlineStr">
        <is>
          <t>D</t>
        </is>
      </c>
      <c r="S112" t="inlineStr">
        <is>
          <t>L</t>
        </is>
      </c>
      <c r="T112" t="inlineStr">
        <is>
          <t>K</t>
        </is>
      </c>
    </row>
    <row r="113">
      <c r="L113" t="n">
        <v>3790</v>
      </c>
      <c r="M113" t="inlineStr">
        <is>
          <t>H</t>
        </is>
      </c>
      <c r="N113" t="inlineStr">
        <is>
          <t>G</t>
        </is>
      </c>
      <c r="O113" t="inlineStr">
        <is>
          <t>B</t>
        </is>
      </c>
      <c r="P113" t="inlineStr">
        <is>
          <t>C</t>
        </is>
      </c>
      <c r="Q113" t="inlineStr">
        <is>
          <t>J</t>
        </is>
      </c>
      <c r="R113" t="inlineStr">
        <is>
          <t>D</t>
        </is>
      </c>
      <c r="S113" t="inlineStr">
        <is>
          <t>L</t>
        </is>
      </c>
      <c r="T113" t="inlineStr">
        <is>
          <t>K</t>
        </is>
      </c>
    </row>
    <row r="114">
      <c r="L114" t="n">
        <v>3534</v>
      </c>
      <c r="M114" t="inlineStr">
        <is>
          <t>H</t>
        </is>
      </c>
      <c r="N114" t="inlineStr">
        <is>
          <t>G</t>
        </is>
      </c>
      <c r="O114" t="inlineStr">
        <is>
          <t>B</t>
        </is>
      </c>
      <c r="P114" t="inlineStr">
        <is>
          <t>C</t>
        </is>
      </c>
      <c r="Q114" t="inlineStr">
        <is>
          <t>I</t>
        </is>
      </c>
      <c r="R114" t="inlineStr">
        <is>
          <t>D</t>
        </is>
      </c>
      <c r="S114" t="inlineStr">
        <is>
          <t>L</t>
        </is>
      </c>
      <c r="T114" t="inlineStr">
        <is>
          <t>K</t>
        </is>
      </c>
    </row>
    <row r="115">
      <c r="L115" t="n">
        <v>3022</v>
      </c>
      <c r="M115" t="inlineStr">
        <is>
          <t>H</t>
        </is>
      </c>
      <c r="N115" t="inlineStr">
        <is>
          <t>G</t>
        </is>
      </c>
      <c r="O115" t="inlineStr">
        <is>
          <t>B</t>
        </is>
      </c>
      <c r="P115" t="inlineStr">
        <is>
          <t>C</t>
        </is>
      </c>
      <c r="Q115" t="inlineStr">
        <is>
          <t>J</t>
        </is>
      </c>
      <c r="R115" t="inlineStr">
        <is>
          <t>D</t>
        </is>
      </c>
      <c r="S115" t="inlineStr">
        <is>
          <t>L</t>
        </is>
      </c>
      <c r="T115" t="inlineStr">
        <is>
          <t>I</t>
        </is>
      </c>
    </row>
    <row r="116">
      <c r="L116" t="n">
        <v>1998</v>
      </c>
      <c r="M116" t="inlineStr">
        <is>
          <t>H</t>
        </is>
      </c>
      <c r="N116" t="inlineStr">
        <is>
          <t>G</t>
        </is>
      </c>
      <c r="O116" t="inlineStr">
        <is>
          <t>B</t>
        </is>
      </c>
      <c r="P116" t="inlineStr">
        <is>
          <t>C</t>
        </is>
      </c>
      <c r="Q116" t="inlineStr">
        <is>
          <t>J</t>
        </is>
      </c>
      <c r="R116" t="inlineStr">
        <is>
          <t>D</t>
        </is>
      </c>
      <c r="S116" t="inlineStr">
        <is>
          <t>I</t>
        </is>
      </c>
      <c r="T116" t="inlineStr">
        <is>
          <t>K</t>
        </is>
      </c>
    </row>
    <row r="117">
      <c r="L117" t="n">
        <v>3886</v>
      </c>
      <c r="M117" t="inlineStr">
        <is>
          <t>C</t>
        </is>
      </c>
      <c r="N117" t="inlineStr">
        <is>
          <t>J</t>
        </is>
      </c>
      <c r="O117" t="inlineStr">
        <is>
          <t>B</t>
        </is>
      </c>
      <c r="P117" t="inlineStr">
        <is>
          <t>D</t>
        </is>
      </c>
      <c r="Q117" t="inlineStr">
        <is>
          <t>I</t>
        </is>
      </c>
      <c r="R117" t="inlineStr">
        <is>
          <t>F</t>
        </is>
      </c>
      <c r="S117" t="inlineStr">
        <is>
          <t>L</t>
        </is>
      </c>
      <c r="T117" t="inlineStr">
        <is>
          <t>K</t>
        </is>
      </c>
    </row>
    <row r="118">
      <c r="L118" t="n">
        <v>3758</v>
      </c>
      <c r="M118" t="inlineStr">
        <is>
          <t>C</t>
        </is>
      </c>
      <c r="N118" t="inlineStr">
        <is>
          <t>J</t>
        </is>
      </c>
      <c r="O118" t="inlineStr">
        <is>
          <t>B</t>
        </is>
      </c>
      <c r="P118" t="inlineStr">
        <is>
          <t>D</t>
        </is>
      </c>
      <c r="Q118" t="inlineStr">
        <is>
          <t>H</t>
        </is>
      </c>
      <c r="R118" t="inlineStr">
        <is>
          <t>F</t>
        </is>
      </c>
      <c r="S118" t="inlineStr">
        <is>
          <t>L</t>
        </is>
      </c>
      <c r="T118" t="inlineStr">
        <is>
          <t>K</t>
        </is>
      </c>
    </row>
    <row r="119">
      <c r="L119" t="n">
        <v>3502</v>
      </c>
      <c r="M119" t="inlineStr">
        <is>
          <t>C</t>
        </is>
      </c>
      <c r="N119" t="inlineStr">
        <is>
          <t>I</t>
        </is>
      </c>
      <c r="O119" t="inlineStr">
        <is>
          <t>B</t>
        </is>
      </c>
      <c r="P119" t="inlineStr">
        <is>
          <t>D</t>
        </is>
      </c>
      <c r="Q119" t="inlineStr">
        <is>
          <t>H</t>
        </is>
      </c>
      <c r="R119" t="inlineStr">
        <is>
          <t>F</t>
        </is>
      </c>
      <c r="S119" t="inlineStr">
        <is>
          <t>L</t>
        </is>
      </c>
      <c r="T119" t="inlineStr">
        <is>
          <t>K</t>
        </is>
      </c>
    </row>
    <row r="120">
      <c r="L120" t="n">
        <v>2990</v>
      </c>
      <c r="M120" t="inlineStr">
        <is>
          <t>C</t>
        </is>
      </c>
      <c r="N120" t="inlineStr">
        <is>
          <t>J</t>
        </is>
      </c>
      <c r="O120" t="inlineStr">
        <is>
          <t>B</t>
        </is>
      </c>
      <c r="P120" t="inlineStr">
        <is>
          <t>D</t>
        </is>
      </c>
      <c r="Q120" t="inlineStr">
        <is>
          <t>H</t>
        </is>
      </c>
      <c r="R120" t="inlineStr">
        <is>
          <t>F</t>
        </is>
      </c>
      <c r="S120" t="inlineStr">
        <is>
          <t>L</t>
        </is>
      </c>
      <c r="T120" t="inlineStr">
        <is>
          <t>I</t>
        </is>
      </c>
    </row>
    <row r="121">
      <c r="L121" t="n">
        <v>1966</v>
      </c>
      <c r="M121" t="inlineStr">
        <is>
          <t>C</t>
        </is>
      </c>
      <c r="N121" t="inlineStr">
        <is>
          <t>J</t>
        </is>
      </c>
      <c r="O121" t="inlineStr">
        <is>
          <t>B</t>
        </is>
      </c>
      <c r="P121" t="inlineStr">
        <is>
          <t>D</t>
        </is>
      </c>
      <c r="Q121" t="inlineStr">
        <is>
          <t>H</t>
        </is>
      </c>
      <c r="R121" t="inlineStr">
        <is>
          <t>F</t>
        </is>
      </c>
      <c r="S121" t="inlineStr">
        <is>
          <t>I</t>
        </is>
      </c>
      <c r="T121" t="inlineStr">
        <is>
          <t>K</t>
        </is>
      </c>
    </row>
    <row r="122">
      <c r="L122" t="n">
        <v>3694</v>
      </c>
      <c r="M122" t="inlineStr">
        <is>
          <t>C</t>
        </is>
      </c>
      <c r="N122" t="inlineStr">
        <is>
          <t>G</t>
        </is>
      </c>
      <c r="O122" t="inlineStr">
        <is>
          <t>B</t>
        </is>
      </c>
      <c r="P122" t="inlineStr">
        <is>
          <t>D</t>
        </is>
      </c>
      <c r="Q122" t="inlineStr">
        <is>
          <t>J</t>
        </is>
      </c>
      <c r="R122" t="inlineStr">
        <is>
          <t>F</t>
        </is>
      </c>
      <c r="S122" t="inlineStr">
        <is>
          <t>L</t>
        </is>
      </c>
      <c r="T122" t="inlineStr">
        <is>
          <t>K</t>
        </is>
      </c>
    </row>
    <row r="123">
      <c r="L123" t="n">
        <v>3438</v>
      </c>
      <c r="M123" t="inlineStr">
        <is>
          <t>C</t>
        </is>
      </c>
      <c r="N123" t="inlineStr">
        <is>
          <t>G</t>
        </is>
      </c>
      <c r="O123" t="inlineStr">
        <is>
          <t>B</t>
        </is>
      </c>
      <c r="P123" t="inlineStr">
        <is>
          <t>D</t>
        </is>
      </c>
      <c r="Q123" t="inlineStr">
        <is>
          <t>I</t>
        </is>
      </c>
      <c r="R123" t="inlineStr">
        <is>
          <t>F</t>
        </is>
      </c>
      <c r="S123" t="inlineStr">
        <is>
          <t>L</t>
        </is>
      </c>
      <c r="T123" t="inlineStr">
        <is>
          <t>K</t>
        </is>
      </c>
    </row>
    <row r="124">
      <c r="L124" t="n">
        <v>2926</v>
      </c>
      <c r="M124" t="inlineStr">
        <is>
          <t>C</t>
        </is>
      </c>
      <c r="N124" t="inlineStr">
        <is>
          <t>G</t>
        </is>
      </c>
      <c r="O124" t="inlineStr">
        <is>
          <t>B</t>
        </is>
      </c>
      <c r="P124" t="inlineStr">
        <is>
          <t>D</t>
        </is>
      </c>
      <c r="Q124" t="inlineStr">
        <is>
          <t>J</t>
        </is>
      </c>
      <c r="R124" t="inlineStr">
        <is>
          <t>F</t>
        </is>
      </c>
      <c r="S124" t="inlineStr">
        <is>
          <t>L</t>
        </is>
      </c>
      <c r="T124" t="inlineStr">
        <is>
          <t>I</t>
        </is>
      </c>
    </row>
    <row r="125">
      <c r="L125" t="n">
        <v>1902</v>
      </c>
      <c r="M125" t="inlineStr">
        <is>
          <t>C</t>
        </is>
      </c>
      <c r="N125" t="inlineStr">
        <is>
          <t>G</t>
        </is>
      </c>
      <c r="O125" t="inlineStr">
        <is>
          <t>B</t>
        </is>
      </c>
      <c r="P125" t="inlineStr">
        <is>
          <t>D</t>
        </is>
      </c>
      <c r="Q125" t="inlineStr">
        <is>
          <t>J</t>
        </is>
      </c>
      <c r="R125" t="inlineStr">
        <is>
          <t>F</t>
        </is>
      </c>
      <c r="S125" t="inlineStr">
        <is>
          <t>I</t>
        </is>
      </c>
      <c r="T125" t="inlineStr">
        <is>
          <t>K</t>
        </is>
      </c>
    </row>
    <row r="126">
      <c r="L126" t="n">
        <v>3310</v>
      </c>
      <c r="M126" t="inlineStr">
        <is>
          <t>C</t>
        </is>
      </c>
      <c r="N126" t="inlineStr">
        <is>
          <t>G</t>
        </is>
      </c>
      <c r="O126" t="inlineStr">
        <is>
          <t>B</t>
        </is>
      </c>
      <c r="P126" t="inlineStr">
        <is>
          <t>D</t>
        </is>
      </c>
      <c r="Q126" t="inlineStr">
        <is>
          <t>H</t>
        </is>
      </c>
      <c r="R126" t="inlineStr">
        <is>
          <t>F</t>
        </is>
      </c>
      <c r="S126" t="inlineStr">
        <is>
          <t>L</t>
        </is>
      </c>
      <c r="T126" t="inlineStr">
        <is>
          <t>K</t>
        </is>
      </c>
    </row>
    <row r="127">
      <c r="L127" t="n">
        <v>2798</v>
      </c>
      <c r="M127" t="inlineStr">
        <is>
          <t>C</t>
        </is>
      </c>
      <c r="N127" t="inlineStr">
        <is>
          <t>G</t>
        </is>
      </c>
      <c r="O127" t="inlineStr">
        <is>
          <t>B</t>
        </is>
      </c>
      <c r="P127" t="inlineStr">
        <is>
          <t>D</t>
        </is>
      </c>
      <c r="Q127" t="inlineStr">
        <is>
          <t>H</t>
        </is>
      </c>
      <c r="R127" t="inlineStr">
        <is>
          <t>F</t>
        </is>
      </c>
      <c r="S127" t="inlineStr">
        <is>
          <t>L</t>
        </is>
      </c>
      <c r="T127" t="inlineStr">
        <is>
          <t>J</t>
        </is>
      </c>
    </row>
    <row r="128">
      <c r="L128" t="n">
        <v>1774</v>
      </c>
      <c r="M128" t="inlineStr">
        <is>
          <t>H</t>
        </is>
      </c>
      <c r="N128" t="inlineStr">
        <is>
          <t>G</t>
        </is>
      </c>
      <c r="O128" t="inlineStr">
        <is>
          <t>B</t>
        </is>
      </c>
      <c r="P128" t="inlineStr">
        <is>
          <t>C</t>
        </is>
      </c>
      <c r="Q128" t="inlineStr">
        <is>
          <t>J</t>
        </is>
      </c>
      <c r="R128" t="inlineStr">
        <is>
          <t>F</t>
        </is>
      </c>
      <c r="S128" t="inlineStr">
        <is>
          <t>D</t>
        </is>
      </c>
      <c r="T128" t="inlineStr">
        <is>
          <t>K</t>
        </is>
      </c>
    </row>
    <row r="129">
      <c r="L129" t="n">
        <v>2542</v>
      </c>
      <c r="M129" t="inlineStr">
        <is>
          <t>C</t>
        </is>
      </c>
      <c r="N129" t="inlineStr">
        <is>
          <t>G</t>
        </is>
      </c>
      <c r="O129" t="inlineStr">
        <is>
          <t>B</t>
        </is>
      </c>
      <c r="P129" t="inlineStr">
        <is>
          <t>D</t>
        </is>
      </c>
      <c r="Q129" t="inlineStr">
        <is>
          <t>H</t>
        </is>
      </c>
      <c r="R129" t="inlineStr">
        <is>
          <t>F</t>
        </is>
      </c>
      <c r="S129" t="inlineStr">
        <is>
          <t>L</t>
        </is>
      </c>
      <c r="T129" t="inlineStr">
        <is>
          <t>I</t>
        </is>
      </c>
    </row>
    <row r="130">
      <c r="L130" t="n">
        <v>1518</v>
      </c>
      <c r="M130" t="inlineStr">
        <is>
          <t>C</t>
        </is>
      </c>
      <c r="N130" t="inlineStr">
        <is>
          <t>G</t>
        </is>
      </c>
      <c r="O130" t="inlineStr">
        <is>
          <t>B</t>
        </is>
      </c>
      <c r="P130" t="inlineStr">
        <is>
          <t>D</t>
        </is>
      </c>
      <c r="Q130" t="inlineStr">
        <is>
          <t>H</t>
        </is>
      </c>
      <c r="R130" t="inlineStr">
        <is>
          <t>F</t>
        </is>
      </c>
      <c r="S130" t="inlineStr">
        <is>
          <t>I</t>
        </is>
      </c>
      <c r="T130" t="inlineStr">
        <is>
          <t>K</t>
        </is>
      </c>
    </row>
    <row r="131">
      <c r="L131" t="n">
        <v>1006</v>
      </c>
      <c r="M131" t="inlineStr">
        <is>
          <t>H</t>
        </is>
      </c>
      <c r="N131" t="inlineStr">
        <is>
          <t>G</t>
        </is>
      </c>
      <c r="O131" t="inlineStr">
        <is>
          <t>B</t>
        </is>
      </c>
      <c r="P131" t="inlineStr">
        <is>
          <t>C</t>
        </is>
      </c>
      <c r="Q131" t="inlineStr">
        <is>
          <t>J</t>
        </is>
      </c>
      <c r="R131" t="inlineStr">
        <is>
          <t>F</t>
        </is>
      </c>
      <c r="S131" t="inlineStr">
        <is>
          <t>D</t>
        </is>
      </c>
      <c r="T131" t="inlineStr">
        <is>
          <t>I</t>
        </is>
      </c>
    </row>
    <row r="132">
      <c r="L132" t="n">
        <v>3870</v>
      </c>
      <c r="M132" t="inlineStr">
        <is>
          <t>E</t>
        </is>
      </c>
      <c r="N132" t="inlineStr">
        <is>
          <t>J</t>
        </is>
      </c>
      <c r="O132" t="inlineStr">
        <is>
          <t>B</t>
        </is>
      </c>
      <c r="P132" t="inlineStr">
        <is>
          <t>C</t>
        </is>
      </c>
      <c r="Q132" t="inlineStr">
        <is>
          <t>I</t>
        </is>
      </c>
      <c r="R132" t="inlineStr">
        <is>
          <t>D</t>
        </is>
      </c>
      <c r="S132" t="inlineStr">
        <is>
          <t>L</t>
        </is>
      </c>
      <c r="T132" t="inlineStr">
        <is>
          <t>K</t>
        </is>
      </c>
    </row>
    <row r="133">
      <c r="L133" t="n">
        <v>3742</v>
      </c>
      <c r="M133" t="inlineStr">
        <is>
          <t>E</t>
        </is>
      </c>
      <c r="N133" t="inlineStr">
        <is>
          <t>J</t>
        </is>
      </c>
      <c r="O133" t="inlineStr">
        <is>
          <t>B</t>
        </is>
      </c>
      <c r="P133" t="inlineStr">
        <is>
          <t>C</t>
        </is>
      </c>
      <c r="Q133" t="inlineStr">
        <is>
          <t>H</t>
        </is>
      </c>
      <c r="R133" t="inlineStr">
        <is>
          <t>D</t>
        </is>
      </c>
      <c r="S133" t="inlineStr">
        <is>
          <t>L</t>
        </is>
      </c>
      <c r="T133" t="inlineStr">
        <is>
          <t>K</t>
        </is>
      </c>
    </row>
    <row r="134">
      <c r="L134" t="n">
        <v>3486</v>
      </c>
      <c r="M134" t="inlineStr">
        <is>
          <t>E</t>
        </is>
      </c>
      <c r="N134" t="inlineStr">
        <is>
          <t>I</t>
        </is>
      </c>
      <c r="O134" t="inlineStr">
        <is>
          <t>B</t>
        </is>
      </c>
      <c r="P134" t="inlineStr">
        <is>
          <t>C</t>
        </is>
      </c>
      <c r="Q134" t="inlineStr">
        <is>
          <t>H</t>
        </is>
      </c>
      <c r="R134" t="inlineStr">
        <is>
          <t>D</t>
        </is>
      </c>
      <c r="S134" t="inlineStr">
        <is>
          <t>L</t>
        </is>
      </c>
      <c r="T134" t="inlineStr">
        <is>
          <t>K</t>
        </is>
      </c>
    </row>
    <row r="135">
      <c r="L135" t="n">
        <v>2974</v>
      </c>
      <c r="M135" t="inlineStr">
        <is>
          <t>E</t>
        </is>
      </c>
      <c r="N135" t="inlineStr">
        <is>
          <t>J</t>
        </is>
      </c>
      <c r="O135" t="inlineStr">
        <is>
          <t>B</t>
        </is>
      </c>
      <c r="P135" t="inlineStr">
        <is>
          <t>C</t>
        </is>
      </c>
      <c r="Q135" t="inlineStr">
        <is>
          <t>H</t>
        </is>
      </c>
      <c r="R135" t="inlineStr">
        <is>
          <t>D</t>
        </is>
      </c>
      <c r="S135" t="inlineStr">
        <is>
          <t>L</t>
        </is>
      </c>
      <c r="T135" t="inlineStr">
        <is>
          <t>I</t>
        </is>
      </c>
    </row>
    <row r="136">
      <c r="L136" t="n">
        <v>1950</v>
      </c>
      <c r="M136" t="inlineStr">
        <is>
          <t>E</t>
        </is>
      </c>
      <c r="N136" t="inlineStr">
        <is>
          <t>J</t>
        </is>
      </c>
      <c r="O136" t="inlineStr">
        <is>
          <t>B</t>
        </is>
      </c>
      <c r="P136" t="inlineStr">
        <is>
          <t>C</t>
        </is>
      </c>
      <c r="Q136" t="inlineStr">
        <is>
          <t>H</t>
        </is>
      </c>
      <c r="R136" t="inlineStr">
        <is>
          <t>D</t>
        </is>
      </c>
      <c r="S136" t="inlineStr">
        <is>
          <t>I</t>
        </is>
      </c>
      <c r="T136" t="inlineStr">
        <is>
          <t>K</t>
        </is>
      </c>
    </row>
    <row r="137">
      <c r="L137" t="n">
        <v>3678</v>
      </c>
      <c r="M137" t="inlineStr">
        <is>
          <t>E</t>
        </is>
      </c>
      <c r="N137" t="inlineStr">
        <is>
          <t>G</t>
        </is>
      </c>
      <c r="O137" t="inlineStr">
        <is>
          <t>B</t>
        </is>
      </c>
      <c r="P137" t="inlineStr">
        <is>
          <t>C</t>
        </is>
      </c>
      <c r="Q137" t="inlineStr">
        <is>
          <t>J</t>
        </is>
      </c>
      <c r="R137" t="inlineStr">
        <is>
          <t>D</t>
        </is>
      </c>
      <c r="S137" t="inlineStr">
        <is>
          <t>L</t>
        </is>
      </c>
      <c r="T137" t="inlineStr">
        <is>
          <t>K</t>
        </is>
      </c>
    </row>
    <row r="138">
      <c r="L138" t="n">
        <v>3422</v>
      </c>
      <c r="M138" t="inlineStr">
        <is>
          <t>E</t>
        </is>
      </c>
      <c r="N138" t="inlineStr">
        <is>
          <t>G</t>
        </is>
      </c>
      <c r="O138" t="inlineStr">
        <is>
          <t>B</t>
        </is>
      </c>
      <c r="P138" t="inlineStr">
        <is>
          <t>C</t>
        </is>
      </c>
      <c r="Q138" t="inlineStr">
        <is>
          <t>I</t>
        </is>
      </c>
      <c r="R138" t="inlineStr">
        <is>
          <t>D</t>
        </is>
      </c>
      <c r="S138" t="inlineStr">
        <is>
          <t>L</t>
        </is>
      </c>
      <c r="T138" t="inlineStr">
        <is>
          <t>K</t>
        </is>
      </c>
    </row>
    <row r="139">
      <c r="L139" t="n">
        <v>2910</v>
      </c>
      <c r="M139" t="inlineStr">
        <is>
          <t>E</t>
        </is>
      </c>
      <c r="N139" t="inlineStr">
        <is>
          <t>G</t>
        </is>
      </c>
      <c r="O139" t="inlineStr">
        <is>
          <t>B</t>
        </is>
      </c>
      <c r="P139" t="inlineStr">
        <is>
          <t>C</t>
        </is>
      </c>
      <c r="Q139" t="inlineStr">
        <is>
          <t>J</t>
        </is>
      </c>
      <c r="R139" t="inlineStr">
        <is>
          <t>D</t>
        </is>
      </c>
      <c r="S139" t="inlineStr">
        <is>
          <t>L</t>
        </is>
      </c>
      <c r="T139" t="inlineStr">
        <is>
          <t>I</t>
        </is>
      </c>
    </row>
    <row r="140">
      <c r="L140" t="n">
        <v>1886</v>
      </c>
      <c r="M140" t="inlineStr">
        <is>
          <t>E</t>
        </is>
      </c>
      <c r="N140" t="inlineStr">
        <is>
          <t>G</t>
        </is>
      </c>
      <c r="O140" t="inlineStr">
        <is>
          <t>B</t>
        </is>
      </c>
      <c r="P140" t="inlineStr">
        <is>
          <t>C</t>
        </is>
      </c>
      <c r="Q140" t="inlineStr">
        <is>
          <t>J</t>
        </is>
      </c>
      <c r="R140" t="inlineStr">
        <is>
          <t>D</t>
        </is>
      </c>
      <c r="S140" t="inlineStr">
        <is>
          <t>I</t>
        </is>
      </c>
      <c r="T140" t="inlineStr">
        <is>
          <t>K</t>
        </is>
      </c>
    </row>
    <row r="141">
      <c r="L141" t="n">
        <v>3294</v>
      </c>
      <c r="M141" t="inlineStr">
        <is>
          <t>E</t>
        </is>
      </c>
      <c r="N141" t="inlineStr">
        <is>
          <t>G</t>
        </is>
      </c>
      <c r="O141" t="inlineStr">
        <is>
          <t>B</t>
        </is>
      </c>
      <c r="P141" t="inlineStr">
        <is>
          <t>C</t>
        </is>
      </c>
      <c r="Q141" t="inlineStr">
        <is>
          <t>H</t>
        </is>
      </c>
      <c r="R141" t="inlineStr">
        <is>
          <t>D</t>
        </is>
      </c>
      <c r="S141" t="inlineStr">
        <is>
          <t>L</t>
        </is>
      </c>
      <c r="T141" t="inlineStr">
        <is>
          <t>K</t>
        </is>
      </c>
    </row>
    <row r="142">
      <c r="L142" t="n">
        <v>2782</v>
      </c>
      <c r="M142" t="inlineStr">
        <is>
          <t>H</t>
        </is>
      </c>
      <c r="N142" t="inlineStr">
        <is>
          <t>G</t>
        </is>
      </c>
      <c r="O142" t="inlineStr">
        <is>
          <t>B</t>
        </is>
      </c>
      <c r="P142" t="inlineStr">
        <is>
          <t>C</t>
        </is>
      </c>
      <c r="Q142" t="inlineStr">
        <is>
          <t>J</t>
        </is>
      </c>
      <c r="R142" t="inlineStr">
        <is>
          <t>D</t>
        </is>
      </c>
      <c r="S142" t="inlineStr">
        <is>
          <t>L</t>
        </is>
      </c>
      <c r="T142" t="inlineStr">
        <is>
          <t>E</t>
        </is>
      </c>
    </row>
    <row r="143">
      <c r="L143" t="n">
        <v>1758</v>
      </c>
      <c r="M143" t="inlineStr">
        <is>
          <t>H</t>
        </is>
      </c>
      <c r="N143" t="inlineStr">
        <is>
          <t>G</t>
        </is>
      </c>
      <c r="O143" t="inlineStr">
        <is>
          <t>B</t>
        </is>
      </c>
      <c r="P143" t="inlineStr">
        <is>
          <t>C</t>
        </is>
      </c>
      <c r="Q143" t="inlineStr">
        <is>
          <t>J</t>
        </is>
      </c>
      <c r="R143" t="inlineStr">
        <is>
          <t>D</t>
        </is>
      </c>
      <c r="S143" t="inlineStr">
        <is>
          <t>E</t>
        </is>
      </c>
      <c r="T143" t="inlineStr">
        <is>
          <t>K</t>
        </is>
      </c>
    </row>
    <row r="144">
      <c r="L144" t="n">
        <v>2526</v>
      </c>
      <c r="M144" t="inlineStr">
        <is>
          <t>E</t>
        </is>
      </c>
      <c r="N144" t="inlineStr">
        <is>
          <t>G</t>
        </is>
      </c>
      <c r="O144" t="inlineStr">
        <is>
          <t>B</t>
        </is>
      </c>
      <c r="P144" t="inlineStr">
        <is>
          <t>C</t>
        </is>
      </c>
      <c r="Q144" t="inlineStr">
        <is>
          <t>H</t>
        </is>
      </c>
      <c r="R144" t="inlineStr">
        <is>
          <t>D</t>
        </is>
      </c>
      <c r="S144" t="inlineStr">
        <is>
          <t>L</t>
        </is>
      </c>
      <c r="T144" t="inlineStr">
        <is>
          <t>I</t>
        </is>
      </c>
    </row>
    <row r="145">
      <c r="L145" t="n">
        <v>1502</v>
      </c>
      <c r="M145" t="inlineStr">
        <is>
          <t>E</t>
        </is>
      </c>
      <c r="N145" t="inlineStr">
        <is>
          <t>G</t>
        </is>
      </c>
      <c r="O145" t="inlineStr">
        <is>
          <t>B</t>
        </is>
      </c>
      <c r="P145" t="inlineStr">
        <is>
          <t>C</t>
        </is>
      </c>
      <c r="Q145" t="inlineStr">
        <is>
          <t>H</t>
        </is>
      </c>
      <c r="R145" t="inlineStr">
        <is>
          <t>D</t>
        </is>
      </c>
      <c r="S145" t="inlineStr">
        <is>
          <t>I</t>
        </is>
      </c>
      <c r="T145" t="inlineStr">
        <is>
          <t>K</t>
        </is>
      </c>
    </row>
    <row r="146">
      <c r="L146" t="n">
        <v>990</v>
      </c>
      <c r="M146" t="inlineStr">
        <is>
          <t>H</t>
        </is>
      </c>
      <c r="N146" t="inlineStr">
        <is>
          <t>G</t>
        </is>
      </c>
      <c r="O146" t="inlineStr">
        <is>
          <t>B</t>
        </is>
      </c>
      <c r="P146" t="inlineStr">
        <is>
          <t>C</t>
        </is>
      </c>
      <c r="Q146" t="inlineStr">
        <is>
          <t>J</t>
        </is>
      </c>
      <c r="R146" t="inlineStr">
        <is>
          <t>D</t>
        </is>
      </c>
      <c r="S146" t="inlineStr">
        <is>
          <t>E</t>
        </is>
      </c>
      <c r="T146" t="inlineStr">
        <is>
          <t>I</t>
        </is>
      </c>
    </row>
    <row r="147">
      <c r="L147" t="n">
        <v>3646</v>
      </c>
      <c r="M147" t="inlineStr">
        <is>
          <t>C</t>
        </is>
      </c>
      <c r="N147" t="inlineStr">
        <is>
          <t>J</t>
        </is>
      </c>
      <c r="O147" t="inlineStr">
        <is>
          <t>B</t>
        </is>
      </c>
      <c r="P147" t="inlineStr">
        <is>
          <t>D</t>
        </is>
      </c>
      <c r="Q147" t="inlineStr">
        <is>
          <t>E</t>
        </is>
      </c>
      <c r="R147" t="inlineStr">
        <is>
          <t>F</t>
        </is>
      </c>
      <c r="S147" t="inlineStr">
        <is>
          <t>L</t>
        </is>
      </c>
      <c r="T147" t="inlineStr">
        <is>
          <t>K</t>
        </is>
      </c>
    </row>
    <row r="148">
      <c r="L148" t="n">
        <v>3390</v>
      </c>
      <c r="M148" t="inlineStr">
        <is>
          <t>C</t>
        </is>
      </c>
      <c r="N148" t="inlineStr">
        <is>
          <t>E</t>
        </is>
      </c>
      <c r="O148" t="inlineStr">
        <is>
          <t>B</t>
        </is>
      </c>
      <c r="P148" t="inlineStr">
        <is>
          <t>D</t>
        </is>
      </c>
      <c r="Q148" t="inlineStr">
        <is>
          <t>I</t>
        </is>
      </c>
      <c r="R148" t="inlineStr">
        <is>
          <t>F</t>
        </is>
      </c>
      <c r="S148" t="inlineStr">
        <is>
          <t>L</t>
        </is>
      </c>
      <c r="T148" t="inlineStr">
        <is>
          <t>K</t>
        </is>
      </c>
    </row>
    <row r="149">
      <c r="L149" t="n">
        <v>2878</v>
      </c>
      <c r="M149" t="inlineStr">
        <is>
          <t>C</t>
        </is>
      </c>
      <c r="N149" t="inlineStr">
        <is>
          <t>J</t>
        </is>
      </c>
      <c r="O149" t="inlineStr">
        <is>
          <t>B</t>
        </is>
      </c>
      <c r="P149" t="inlineStr">
        <is>
          <t>D</t>
        </is>
      </c>
      <c r="Q149" t="inlineStr">
        <is>
          <t>E</t>
        </is>
      </c>
      <c r="R149" t="inlineStr">
        <is>
          <t>F</t>
        </is>
      </c>
      <c r="S149" t="inlineStr">
        <is>
          <t>L</t>
        </is>
      </c>
      <c r="T149" t="inlineStr">
        <is>
          <t>I</t>
        </is>
      </c>
    </row>
    <row r="150">
      <c r="L150" t="n">
        <v>1854</v>
      </c>
      <c r="M150" t="inlineStr">
        <is>
          <t>C</t>
        </is>
      </c>
      <c r="N150" t="inlineStr">
        <is>
          <t>J</t>
        </is>
      </c>
      <c r="O150" t="inlineStr">
        <is>
          <t>B</t>
        </is>
      </c>
      <c r="P150" t="inlineStr">
        <is>
          <t>D</t>
        </is>
      </c>
      <c r="Q150" t="inlineStr">
        <is>
          <t>E</t>
        </is>
      </c>
      <c r="R150" t="inlineStr">
        <is>
          <t>F</t>
        </is>
      </c>
      <c r="S150" t="inlineStr">
        <is>
          <t>I</t>
        </is>
      </c>
      <c r="T150" t="inlineStr">
        <is>
          <t>K</t>
        </is>
      </c>
    </row>
    <row r="151">
      <c r="L151" t="n">
        <v>3262</v>
      </c>
      <c r="M151" t="inlineStr">
        <is>
          <t>C</t>
        </is>
      </c>
      <c r="N151" t="inlineStr">
        <is>
          <t>E</t>
        </is>
      </c>
      <c r="O151" t="inlineStr">
        <is>
          <t>B</t>
        </is>
      </c>
      <c r="P151" t="inlineStr">
        <is>
          <t>D</t>
        </is>
      </c>
      <c r="Q151" t="inlineStr">
        <is>
          <t>H</t>
        </is>
      </c>
      <c r="R151" t="inlineStr">
        <is>
          <t>F</t>
        </is>
      </c>
      <c r="S151" t="inlineStr">
        <is>
          <t>L</t>
        </is>
      </c>
      <c r="T151" t="inlineStr">
        <is>
          <t>K</t>
        </is>
      </c>
    </row>
    <row r="152">
      <c r="L152" t="n">
        <v>2750</v>
      </c>
      <c r="M152" t="inlineStr">
        <is>
          <t>C</t>
        </is>
      </c>
      <c r="N152" t="inlineStr">
        <is>
          <t>J</t>
        </is>
      </c>
      <c r="O152" t="inlineStr">
        <is>
          <t>B</t>
        </is>
      </c>
      <c r="P152" t="inlineStr">
        <is>
          <t>D</t>
        </is>
      </c>
      <c r="Q152" t="inlineStr">
        <is>
          <t>H</t>
        </is>
      </c>
      <c r="R152" t="inlineStr">
        <is>
          <t>F</t>
        </is>
      </c>
      <c r="S152" t="inlineStr">
        <is>
          <t>L</t>
        </is>
      </c>
      <c r="T152" t="inlineStr">
        <is>
          <t>E</t>
        </is>
      </c>
    </row>
    <row r="153">
      <c r="L153" t="n">
        <v>1726</v>
      </c>
      <c r="M153" t="inlineStr">
        <is>
          <t>C</t>
        </is>
      </c>
      <c r="N153" t="inlineStr">
        <is>
          <t>J</t>
        </is>
      </c>
      <c r="O153" t="inlineStr">
        <is>
          <t>B</t>
        </is>
      </c>
      <c r="P153" t="inlineStr">
        <is>
          <t>D</t>
        </is>
      </c>
      <c r="Q153" t="inlineStr">
        <is>
          <t>H</t>
        </is>
      </c>
      <c r="R153" t="inlineStr">
        <is>
          <t>F</t>
        </is>
      </c>
      <c r="S153" t="inlineStr">
        <is>
          <t>E</t>
        </is>
      </c>
      <c r="T153" t="inlineStr">
        <is>
          <t>K</t>
        </is>
      </c>
    </row>
    <row r="154">
      <c r="L154" t="n">
        <v>2494</v>
      </c>
      <c r="M154" t="inlineStr">
        <is>
          <t>C</t>
        </is>
      </c>
      <c r="N154" t="inlineStr">
        <is>
          <t>E</t>
        </is>
      </c>
      <c r="O154" t="inlineStr">
        <is>
          <t>B</t>
        </is>
      </c>
      <c r="P154" t="inlineStr">
        <is>
          <t>D</t>
        </is>
      </c>
      <c r="Q154" t="inlineStr">
        <is>
          <t>H</t>
        </is>
      </c>
      <c r="R154" t="inlineStr">
        <is>
          <t>F</t>
        </is>
      </c>
      <c r="S154" t="inlineStr">
        <is>
          <t>L</t>
        </is>
      </c>
      <c r="T154" t="inlineStr">
        <is>
          <t>I</t>
        </is>
      </c>
    </row>
    <row r="155">
      <c r="L155" t="n">
        <v>1470</v>
      </c>
      <c r="M155" t="inlineStr">
        <is>
          <t>C</t>
        </is>
      </c>
      <c r="N155" t="inlineStr">
        <is>
          <t>E</t>
        </is>
      </c>
      <c r="O155" t="inlineStr">
        <is>
          <t>B</t>
        </is>
      </c>
      <c r="P155" t="inlineStr">
        <is>
          <t>D</t>
        </is>
      </c>
      <c r="Q155" t="inlineStr">
        <is>
          <t>H</t>
        </is>
      </c>
      <c r="R155" t="inlineStr">
        <is>
          <t>F</t>
        </is>
      </c>
      <c r="S155" t="inlineStr">
        <is>
          <t>I</t>
        </is>
      </c>
      <c r="T155" t="inlineStr">
        <is>
          <t>K</t>
        </is>
      </c>
    </row>
    <row r="156">
      <c r="L156" t="n">
        <v>958</v>
      </c>
      <c r="M156" t="inlineStr">
        <is>
          <t>C</t>
        </is>
      </c>
      <c r="N156" t="inlineStr">
        <is>
          <t>J</t>
        </is>
      </c>
      <c r="O156" t="inlineStr">
        <is>
          <t>B</t>
        </is>
      </c>
      <c r="P156" t="inlineStr">
        <is>
          <t>D</t>
        </is>
      </c>
      <c r="Q156" t="inlineStr">
        <is>
          <t>H</t>
        </is>
      </c>
      <c r="R156" t="inlineStr">
        <is>
          <t>F</t>
        </is>
      </c>
      <c r="S156" t="inlineStr">
        <is>
          <t>E</t>
        </is>
      </c>
      <c r="T156" t="inlineStr">
        <is>
          <t>I</t>
        </is>
      </c>
    </row>
    <row r="157">
      <c r="L157" t="n">
        <v>3198</v>
      </c>
      <c r="M157" t="inlineStr">
        <is>
          <t>C</t>
        </is>
      </c>
      <c r="N157" t="inlineStr">
        <is>
          <t>G</t>
        </is>
      </c>
      <c r="O157" t="inlineStr">
        <is>
          <t>B</t>
        </is>
      </c>
      <c r="P157" t="inlineStr">
        <is>
          <t>D</t>
        </is>
      </c>
      <c r="Q157" t="inlineStr">
        <is>
          <t>E</t>
        </is>
      </c>
      <c r="R157" t="inlineStr">
        <is>
          <t>F</t>
        </is>
      </c>
      <c r="S157" t="inlineStr">
        <is>
          <t>L</t>
        </is>
      </c>
      <c r="T157" t="inlineStr">
        <is>
          <t>K</t>
        </is>
      </c>
    </row>
    <row r="158">
      <c r="L158" t="n">
        <v>2686</v>
      </c>
      <c r="M158" t="inlineStr">
        <is>
          <t>C</t>
        </is>
      </c>
      <c r="N158" t="inlineStr">
        <is>
          <t>G</t>
        </is>
      </c>
      <c r="O158" t="inlineStr">
        <is>
          <t>B</t>
        </is>
      </c>
      <c r="P158" t="inlineStr">
        <is>
          <t>D</t>
        </is>
      </c>
      <c r="Q158" t="inlineStr">
        <is>
          <t>J</t>
        </is>
      </c>
      <c r="R158" t="inlineStr">
        <is>
          <t>F</t>
        </is>
      </c>
      <c r="S158" t="inlineStr">
        <is>
          <t>L</t>
        </is>
      </c>
      <c r="T158" t="inlineStr">
        <is>
          <t>E</t>
        </is>
      </c>
    </row>
    <row r="159">
      <c r="L159" t="n">
        <v>1662</v>
      </c>
      <c r="M159" t="inlineStr">
        <is>
          <t>C</t>
        </is>
      </c>
      <c r="N159" t="inlineStr">
        <is>
          <t>G</t>
        </is>
      </c>
      <c r="O159" t="inlineStr">
        <is>
          <t>B</t>
        </is>
      </c>
      <c r="P159" t="inlineStr">
        <is>
          <t>D</t>
        </is>
      </c>
      <c r="Q159" t="inlineStr">
        <is>
          <t>J</t>
        </is>
      </c>
      <c r="R159" t="inlineStr">
        <is>
          <t>F</t>
        </is>
      </c>
      <c r="S159" t="inlineStr">
        <is>
          <t>E</t>
        </is>
      </c>
      <c r="T159" t="inlineStr">
        <is>
          <t>K</t>
        </is>
      </c>
    </row>
    <row r="160">
      <c r="L160" t="n">
        <v>2430</v>
      </c>
      <c r="M160" t="inlineStr">
        <is>
          <t>C</t>
        </is>
      </c>
      <c r="N160" t="inlineStr">
        <is>
          <t>G</t>
        </is>
      </c>
      <c r="O160" t="inlineStr">
        <is>
          <t>B</t>
        </is>
      </c>
      <c r="P160" t="inlineStr">
        <is>
          <t>D</t>
        </is>
      </c>
      <c r="Q160" t="inlineStr">
        <is>
          <t>E</t>
        </is>
      </c>
      <c r="R160" t="inlineStr">
        <is>
          <t>F</t>
        </is>
      </c>
      <c r="S160" t="inlineStr">
        <is>
          <t>L</t>
        </is>
      </c>
      <c r="T160" t="inlineStr">
        <is>
          <t>I</t>
        </is>
      </c>
    </row>
    <row r="161">
      <c r="L161" t="n">
        <v>1406</v>
      </c>
      <c r="M161" t="inlineStr">
        <is>
          <t>C</t>
        </is>
      </c>
      <c r="N161" t="inlineStr">
        <is>
          <t>G</t>
        </is>
      </c>
      <c r="O161" t="inlineStr">
        <is>
          <t>B</t>
        </is>
      </c>
      <c r="P161" t="inlineStr">
        <is>
          <t>D</t>
        </is>
      </c>
      <c r="Q161" t="inlineStr">
        <is>
          <t>E</t>
        </is>
      </c>
      <c r="R161" t="inlineStr">
        <is>
          <t>F</t>
        </is>
      </c>
      <c r="S161" t="inlineStr">
        <is>
          <t>I</t>
        </is>
      </c>
      <c r="T161" t="inlineStr">
        <is>
          <t>K</t>
        </is>
      </c>
    </row>
    <row r="162">
      <c r="L162" t="n">
        <v>894</v>
      </c>
      <c r="M162" t="inlineStr">
        <is>
          <t>C</t>
        </is>
      </c>
      <c r="N162" t="inlineStr">
        <is>
          <t>G</t>
        </is>
      </c>
      <c r="O162" t="inlineStr">
        <is>
          <t>B</t>
        </is>
      </c>
      <c r="P162" t="inlineStr">
        <is>
          <t>D</t>
        </is>
      </c>
      <c r="Q162" t="inlineStr">
        <is>
          <t>J</t>
        </is>
      </c>
      <c r="R162" t="inlineStr">
        <is>
          <t>F</t>
        </is>
      </c>
      <c r="S162" t="inlineStr">
        <is>
          <t>E</t>
        </is>
      </c>
      <c r="T162" t="inlineStr">
        <is>
          <t>I</t>
        </is>
      </c>
    </row>
    <row r="163">
      <c r="L163" t="n">
        <v>2302</v>
      </c>
      <c r="M163" t="inlineStr">
        <is>
          <t>C</t>
        </is>
      </c>
      <c r="N163" t="inlineStr">
        <is>
          <t>G</t>
        </is>
      </c>
      <c r="O163" t="inlineStr">
        <is>
          <t>B</t>
        </is>
      </c>
      <c r="P163" t="inlineStr">
        <is>
          <t>D</t>
        </is>
      </c>
      <c r="Q163" t="inlineStr">
        <is>
          <t>H</t>
        </is>
      </c>
      <c r="R163" t="inlineStr">
        <is>
          <t>F</t>
        </is>
      </c>
      <c r="S163" t="inlineStr">
        <is>
          <t>L</t>
        </is>
      </c>
      <c r="T163" t="inlineStr">
        <is>
          <t>E</t>
        </is>
      </c>
    </row>
    <row r="164">
      <c r="L164" t="n">
        <v>1278</v>
      </c>
      <c r="M164" t="inlineStr">
        <is>
          <t>C</t>
        </is>
      </c>
      <c r="N164" t="inlineStr">
        <is>
          <t>G</t>
        </is>
      </c>
      <c r="O164" t="inlineStr">
        <is>
          <t>B</t>
        </is>
      </c>
      <c r="P164" t="inlineStr">
        <is>
          <t>D</t>
        </is>
      </c>
      <c r="Q164" t="inlineStr">
        <is>
          <t>H</t>
        </is>
      </c>
      <c r="R164" t="inlineStr">
        <is>
          <t>F</t>
        </is>
      </c>
      <c r="S164" t="inlineStr">
        <is>
          <t>E</t>
        </is>
      </c>
      <c r="T164" t="inlineStr">
        <is>
          <t>K</t>
        </is>
      </c>
    </row>
    <row r="165">
      <c r="L165" t="n">
        <v>766</v>
      </c>
      <c r="M165" t="inlineStr">
        <is>
          <t>H</t>
        </is>
      </c>
      <c r="N165" t="inlineStr">
        <is>
          <t>G</t>
        </is>
      </c>
      <c r="O165" t="inlineStr">
        <is>
          <t>B</t>
        </is>
      </c>
      <c r="P165" t="inlineStr">
        <is>
          <t>C</t>
        </is>
      </c>
      <c r="Q165" t="inlineStr">
        <is>
          <t>J</t>
        </is>
      </c>
      <c r="R165" t="inlineStr">
        <is>
          <t>F</t>
        </is>
      </c>
      <c r="S165" t="inlineStr">
        <is>
          <t>D</t>
        </is>
      </c>
      <c r="T165" t="inlineStr">
        <is>
          <t>E</t>
        </is>
      </c>
    </row>
    <row r="166">
      <c r="L166" t="n">
        <v>510</v>
      </c>
      <c r="M166" t="inlineStr">
        <is>
          <t>C</t>
        </is>
      </c>
      <c r="N166" t="inlineStr">
        <is>
          <t>G</t>
        </is>
      </c>
      <c r="O166" t="inlineStr">
        <is>
          <t>B</t>
        </is>
      </c>
      <c r="P166" t="inlineStr">
        <is>
          <t>D</t>
        </is>
      </c>
      <c r="Q166" t="inlineStr">
        <is>
          <t>H</t>
        </is>
      </c>
      <c r="R166" t="inlineStr">
        <is>
          <t>F</t>
        </is>
      </c>
      <c r="S166" t="inlineStr">
        <is>
          <t>E</t>
        </is>
      </c>
      <c r="T166" t="inlineStr">
        <is>
          <t>I</t>
        </is>
      </c>
    </row>
    <row r="167">
      <c r="L167" t="n">
        <v>4065</v>
      </c>
      <c r="M167" t="inlineStr">
        <is>
          <t>H</t>
        </is>
      </c>
      <c r="N167" t="inlineStr">
        <is>
          <t>J</t>
        </is>
      </c>
      <c r="O167" t="inlineStr">
        <is>
          <t>I</t>
        </is>
      </c>
      <c r="P167" t="inlineStr">
        <is>
          <t>F</t>
        </is>
      </c>
      <c r="Q167" t="inlineStr">
        <is>
          <t>A</t>
        </is>
      </c>
      <c r="R167" t="inlineStr">
        <is>
          <t>G</t>
        </is>
      </c>
      <c r="S167" t="inlineStr">
        <is>
          <t>L</t>
        </is>
      </c>
      <c r="T167" t="inlineStr">
        <is>
          <t>K</t>
        </is>
      </c>
    </row>
    <row r="168">
      <c r="L168" t="n">
        <v>4049</v>
      </c>
      <c r="M168" t="inlineStr">
        <is>
          <t>E</t>
        </is>
      </c>
      <c r="N168" t="inlineStr">
        <is>
          <t>J</t>
        </is>
      </c>
      <c r="O168" t="inlineStr">
        <is>
          <t>I</t>
        </is>
      </c>
      <c r="P168" t="inlineStr">
        <is>
          <t>A</t>
        </is>
      </c>
      <c r="Q168" t="inlineStr">
        <is>
          <t>H</t>
        </is>
      </c>
      <c r="R168" t="inlineStr">
        <is>
          <t>G</t>
        </is>
      </c>
      <c r="S168" t="inlineStr">
        <is>
          <t>L</t>
        </is>
      </c>
      <c r="T168" t="inlineStr">
        <is>
          <t>K</t>
        </is>
      </c>
    </row>
    <row r="169">
      <c r="L169" t="n">
        <v>4017</v>
      </c>
      <c r="M169" t="inlineStr">
        <is>
          <t>E</t>
        </is>
      </c>
      <c r="N169" t="inlineStr">
        <is>
          <t>J</t>
        </is>
      </c>
      <c r="O169" t="inlineStr">
        <is>
          <t>I</t>
        </is>
      </c>
      <c r="P169" t="inlineStr">
        <is>
          <t>F</t>
        </is>
      </c>
      <c r="Q169" t="inlineStr">
        <is>
          <t>A</t>
        </is>
      </c>
      <c r="R169" t="inlineStr">
        <is>
          <t>H</t>
        </is>
      </c>
      <c r="S169" t="inlineStr">
        <is>
          <t>L</t>
        </is>
      </c>
      <c r="T169" t="inlineStr">
        <is>
          <t>K</t>
        </is>
      </c>
    </row>
    <row r="170">
      <c r="L170" t="n">
        <v>3953</v>
      </c>
      <c r="M170" t="inlineStr">
        <is>
          <t>E</t>
        </is>
      </c>
      <c r="N170" t="inlineStr">
        <is>
          <t>J</t>
        </is>
      </c>
      <c r="O170" t="inlineStr">
        <is>
          <t>I</t>
        </is>
      </c>
      <c r="P170" t="inlineStr">
        <is>
          <t>F</t>
        </is>
      </c>
      <c r="Q170" t="inlineStr">
        <is>
          <t>A</t>
        </is>
      </c>
      <c r="R170" t="inlineStr">
        <is>
          <t>G</t>
        </is>
      </c>
      <c r="S170" t="inlineStr">
        <is>
          <t>L</t>
        </is>
      </c>
      <c r="T170" t="inlineStr">
        <is>
          <t>K</t>
        </is>
      </c>
    </row>
    <row r="171">
      <c r="L171" t="n">
        <v>3825</v>
      </c>
      <c r="M171" t="inlineStr">
        <is>
          <t>E</t>
        </is>
      </c>
      <c r="N171" t="inlineStr">
        <is>
          <t>G</t>
        </is>
      </c>
      <c r="O171" t="inlineStr">
        <is>
          <t>J</t>
        </is>
      </c>
      <c r="P171" t="inlineStr">
        <is>
          <t>F</t>
        </is>
      </c>
      <c r="Q171" t="inlineStr">
        <is>
          <t>A</t>
        </is>
      </c>
      <c r="R171" t="inlineStr">
        <is>
          <t>H</t>
        </is>
      </c>
      <c r="S171" t="inlineStr">
        <is>
          <t>L</t>
        </is>
      </c>
      <c r="T171" t="inlineStr">
        <is>
          <t>K</t>
        </is>
      </c>
    </row>
    <row r="172">
      <c r="L172" t="n">
        <v>3569</v>
      </c>
      <c r="M172" t="inlineStr">
        <is>
          <t>E</t>
        </is>
      </c>
      <c r="N172" t="inlineStr">
        <is>
          <t>G</t>
        </is>
      </c>
      <c r="O172" t="inlineStr">
        <is>
          <t>I</t>
        </is>
      </c>
      <c r="P172" t="inlineStr">
        <is>
          <t>F</t>
        </is>
      </c>
      <c r="Q172" t="inlineStr">
        <is>
          <t>A</t>
        </is>
      </c>
      <c r="R172" t="inlineStr">
        <is>
          <t>H</t>
        </is>
      </c>
      <c r="S172" t="inlineStr">
        <is>
          <t>L</t>
        </is>
      </c>
      <c r="T172" t="inlineStr">
        <is>
          <t>K</t>
        </is>
      </c>
    </row>
    <row r="173">
      <c r="L173" t="n">
        <v>3057</v>
      </c>
      <c r="M173" t="inlineStr">
        <is>
          <t>E</t>
        </is>
      </c>
      <c r="N173" t="inlineStr">
        <is>
          <t>G</t>
        </is>
      </c>
      <c r="O173" t="inlineStr">
        <is>
          <t>J</t>
        </is>
      </c>
      <c r="P173" t="inlineStr">
        <is>
          <t>F</t>
        </is>
      </c>
      <c r="Q173" t="inlineStr">
        <is>
          <t>A</t>
        </is>
      </c>
      <c r="R173" t="inlineStr">
        <is>
          <t>H</t>
        </is>
      </c>
      <c r="S173" t="inlineStr">
        <is>
          <t>L</t>
        </is>
      </c>
      <c r="T173" t="inlineStr">
        <is>
          <t>I</t>
        </is>
      </c>
    </row>
    <row r="174">
      <c r="L174" t="n">
        <v>2033</v>
      </c>
      <c r="M174" t="inlineStr">
        <is>
          <t>E</t>
        </is>
      </c>
      <c r="N174" t="inlineStr">
        <is>
          <t>G</t>
        </is>
      </c>
      <c r="O174" t="inlineStr">
        <is>
          <t>J</t>
        </is>
      </c>
      <c r="P174" t="inlineStr">
        <is>
          <t>F</t>
        </is>
      </c>
      <c r="Q174" t="inlineStr">
        <is>
          <t>A</t>
        </is>
      </c>
      <c r="R174" t="inlineStr">
        <is>
          <t>H</t>
        </is>
      </c>
      <c r="S174" t="inlineStr">
        <is>
          <t>I</t>
        </is>
      </c>
      <c r="T174" t="inlineStr">
        <is>
          <t>K</t>
        </is>
      </c>
    </row>
    <row r="175">
      <c r="L175" t="n">
        <v>4041</v>
      </c>
      <c r="M175" t="inlineStr">
        <is>
          <t>H</t>
        </is>
      </c>
      <c r="N175" t="inlineStr">
        <is>
          <t>J</t>
        </is>
      </c>
      <c r="O175" t="inlineStr">
        <is>
          <t>I</t>
        </is>
      </c>
      <c r="P175" t="inlineStr">
        <is>
          <t>D</t>
        </is>
      </c>
      <c r="Q175" t="inlineStr">
        <is>
          <t>A</t>
        </is>
      </c>
      <c r="R175" t="inlineStr">
        <is>
          <t>G</t>
        </is>
      </c>
      <c r="S175" t="inlineStr">
        <is>
          <t>L</t>
        </is>
      </c>
      <c r="T175" t="inlineStr">
        <is>
          <t>K</t>
        </is>
      </c>
    </row>
    <row r="176">
      <c r="L176" t="n">
        <v>4009</v>
      </c>
      <c r="M176" t="inlineStr">
        <is>
          <t>H</t>
        </is>
      </c>
      <c r="N176" t="inlineStr">
        <is>
          <t>J</t>
        </is>
      </c>
      <c r="O176" t="inlineStr">
        <is>
          <t>I</t>
        </is>
      </c>
      <c r="P176" t="inlineStr">
        <is>
          <t>D</t>
        </is>
      </c>
      <c r="Q176" t="inlineStr">
        <is>
          <t>A</t>
        </is>
      </c>
      <c r="R176" t="inlineStr">
        <is>
          <t>F</t>
        </is>
      </c>
      <c r="S176" t="inlineStr">
        <is>
          <t>L</t>
        </is>
      </c>
      <c r="T176" t="inlineStr">
        <is>
          <t>K</t>
        </is>
      </c>
    </row>
    <row r="177">
      <c r="L177" t="n">
        <v>3945</v>
      </c>
      <c r="M177" t="inlineStr">
        <is>
          <t>I</t>
        </is>
      </c>
      <c r="N177" t="inlineStr">
        <is>
          <t>G</t>
        </is>
      </c>
      <c r="O177" t="inlineStr">
        <is>
          <t>J</t>
        </is>
      </c>
      <c r="P177" t="inlineStr">
        <is>
          <t>D</t>
        </is>
      </c>
      <c r="Q177" t="inlineStr">
        <is>
          <t>A</t>
        </is>
      </c>
      <c r="R177" t="inlineStr">
        <is>
          <t>F</t>
        </is>
      </c>
      <c r="S177" t="inlineStr">
        <is>
          <t>L</t>
        </is>
      </c>
      <c r="T177" t="inlineStr">
        <is>
          <t>K</t>
        </is>
      </c>
    </row>
    <row r="178">
      <c r="L178" t="n">
        <v>3817</v>
      </c>
      <c r="M178" t="inlineStr">
        <is>
          <t>H</t>
        </is>
      </c>
      <c r="N178" t="inlineStr">
        <is>
          <t>G</t>
        </is>
      </c>
      <c r="O178" t="inlineStr">
        <is>
          <t>J</t>
        </is>
      </c>
      <c r="P178" t="inlineStr">
        <is>
          <t>D</t>
        </is>
      </c>
      <c r="Q178" t="inlineStr">
        <is>
          <t>A</t>
        </is>
      </c>
      <c r="R178" t="inlineStr">
        <is>
          <t>F</t>
        </is>
      </c>
      <c r="S178" t="inlineStr">
        <is>
          <t>L</t>
        </is>
      </c>
      <c r="T178" t="inlineStr">
        <is>
          <t>K</t>
        </is>
      </c>
    </row>
    <row r="179">
      <c r="L179" t="n">
        <v>3561</v>
      </c>
      <c r="M179" t="inlineStr">
        <is>
          <t>H</t>
        </is>
      </c>
      <c r="N179" t="inlineStr">
        <is>
          <t>G</t>
        </is>
      </c>
      <c r="O179" t="inlineStr">
        <is>
          <t>I</t>
        </is>
      </c>
      <c r="P179" t="inlineStr">
        <is>
          <t>D</t>
        </is>
      </c>
      <c r="Q179" t="inlineStr">
        <is>
          <t>A</t>
        </is>
      </c>
      <c r="R179" t="inlineStr">
        <is>
          <t>F</t>
        </is>
      </c>
      <c r="S179" t="inlineStr">
        <is>
          <t>L</t>
        </is>
      </c>
      <c r="T179" t="inlineStr">
        <is>
          <t>K</t>
        </is>
      </c>
    </row>
    <row r="180">
      <c r="L180" t="n">
        <v>3049</v>
      </c>
      <c r="M180" t="inlineStr">
        <is>
          <t>H</t>
        </is>
      </c>
      <c r="N180" t="inlineStr">
        <is>
          <t>G</t>
        </is>
      </c>
      <c r="O180" t="inlineStr">
        <is>
          <t>J</t>
        </is>
      </c>
      <c r="P180" t="inlineStr">
        <is>
          <t>D</t>
        </is>
      </c>
      <c r="Q180" t="inlineStr">
        <is>
          <t>A</t>
        </is>
      </c>
      <c r="R180" t="inlineStr">
        <is>
          <t>F</t>
        </is>
      </c>
      <c r="S180" t="inlineStr">
        <is>
          <t>L</t>
        </is>
      </c>
      <c r="T180" t="inlineStr">
        <is>
          <t>I</t>
        </is>
      </c>
    </row>
    <row r="181">
      <c r="L181" t="n">
        <v>2025</v>
      </c>
      <c r="M181" t="inlineStr">
        <is>
          <t>H</t>
        </is>
      </c>
      <c r="N181" t="inlineStr">
        <is>
          <t>G</t>
        </is>
      </c>
      <c r="O181" t="inlineStr">
        <is>
          <t>J</t>
        </is>
      </c>
      <c r="P181" t="inlineStr">
        <is>
          <t>D</t>
        </is>
      </c>
      <c r="Q181" t="inlineStr">
        <is>
          <t>A</t>
        </is>
      </c>
      <c r="R181" t="inlineStr">
        <is>
          <t>F</t>
        </is>
      </c>
      <c r="S181" t="inlineStr">
        <is>
          <t>I</t>
        </is>
      </c>
      <c r="T181" t="inlineStr">
        <is>
          <t>K</t>
        </is>
      </c>
    </row>
    <row r="182">
      <c r="L182" t="n">
        <v>3993</v>
      </c>
      <c r="M182" t="inlineStr">
        <is>
          <t>E</t>
        </is>
      </c>
      <c r="N182" t="inlineStr">
        <is>
          <t>J</t>
        </is>
      </c>
      <c r="O182" t="inlineStr">
        <is>
          <t>I</t>
        </is>
      </c>
      <c r="P182" t="inlineStr">
        <is>
          <t>D</t>
        </is>
      </c>
      <c r="Q182" t="inlineStr">
        <is>
          <t>A</t>
        </is>
      </c>
      <c r="R182" t="inlineStr">
        <is>
          <t>H</t>
        </is>
      </c>
      <c r="S182" t="inlineStr">
        <is>
          <t>L</t>
        </is>
      </c>
      <c r="T182" t="inlineStr">
        <is>
          <t>K</t>
        </is>
      </c>
    </row>
    <row r="183">
      <c r="L183" t="n">
        <v>3929</v>
      </c>
      <c r="M183" t="inlineStr">
        <is>
          <t>E</t>
        </is>
      </c>
      <c r="N183" t="inlineStr">
        <is>
          <t>J</t>
        </is>
      </c>
      <c r="O183" t="inlineStr">
        <is>
          <t>I</t>
        </is>
      </c>
      <c r="P183" t="inlineStr">
        <is>
          <t>D</t>
        </is>
      </c>
      <c r="Q183" t="inlineStr">
        <is>
          <t>A</t>
        </is>
      </c>
      <c r="R183" t="inlineStr">
        <is>
          <t>G</t>
        </is>
      </c>
      <c r="S183" t="inlineStr">
        <is>
          <t>L</t>
        </is>
      </c>
      <c r="T183" t="inlineStr">
        <is>
          <t>K</t>
        </is>
      </c>
    </row>
    <row r="184">
      <c r="L184" t="n">
        <v>3801</v>
      </c>
      <c r="M184" t="inlineStr">
        <is>
          <t>E</t>
        </is>
      </c>
      <c r="N184" t="inlineStr">
        <is>
          <t>G</t>
        </is>
      </c>
      <c r="O184" t="inlineStr">
        <is>
          <t>J</t>
        </is>
      </c>
      <c r="P184" t="inlineStr">
        <is>
          <t>D</t>
        </is>
      </c>
      <c r="Q184" t="inlineStr">
        <is>
          <t>A</t>
        </is>
      </c>
      <c r="R184" t="inlineStr">
        <is>
          <t>H</t>
        </is>
      </c>
      <c r="S184" t="inlineStr">
        <is>
          <t>L</t>
        </is>
      </c>
      <c r="T184" t="inlineStr">
        <is>
          <t>K</t>
        </is>
      </c>
    </row>
    <row r="185">
      <c r="L185" t="n">
        <v>3545</v>
      </c>
      <c r="M185" t="inlineStr">
        <is>
          <t>E</t>
        </is>
      </c>
      <c r="N185" t="inlineStr">
        <is>
          <t>G</t>
        </is>
      </c>
      <c r="O185" t="inlineStr">
        <is>
          <t>I</t>
        </is>
      </c>
      <c r="P185" t="inlineStr">
        <is>
          <t>D</t>
        </is>
      </c>
      <c r="Q185" t="inlineStr">
        <is>
          <t>A</t>
        </is>
      </c>
      <c r="R185" t="inlineStr">
        <is>
          <t>H</t>
        </is>
      </c>
      <c r="S185" t="inlineStr">
        <is>
          <t>L</t>
        </is>
      </c>
      <c r="T185" t="inlineStr">
        <is>
          <t>K</t>
        </is>
      </c>
    </row>
    <row r="186">
      <c r="L186" t="n">
        <v>3033</v>
      </c>
      <c r="M186" t="inlineStr">
        <is>
          <t>E</t>
        </is>
      </c>
      <c r="N186" t="inlineStr">
        <is>
          <t>G</t>
        </is>
      </c>
      <c r="O186" t="inlineStr">
        <is>
          <t>J</t>
        </is>
      </c>
      <c r="P186" t="inlineStr">
        <is>
          <t>D</t>
        </is>
      </c>
      <c r="Q186" t="inlineStr">
        <is>
          <t>A</t>
        </is>
      </c>
      <c r="R186" t="inlineStr">
        <is>
          <t>H</t>
        </is>
      </c>
      <c r="S186" t="inlineStr">
        <is>
          <t>L</t>
        </is>
      </c>
      <c r="T186" t="inlineStr">
        <is>
          <t>I</t>
        </is>
      </c>
    </row>
    <row r="187">
      <c r="L187" t="n">
        <v>2009</v>
      </c>
      <c r="M187" t="inlineStr">
        <is>
          <t>E</t>
        </is>
      </c>
      <c r="N187" t="inlineStr">
        <is>
          <t>G</t>
        </is>
      </c>
      <c r="O187" t="inlineStr">
        <is>
          <t>J</t>
        </is>
      </c>
      <c r="P187" t="inlineStr">
        <is>
          <t>D</t>
        </is>
      </c>
      <c r="Q187" t="inlineStr">
        <is>
          <t>A</t>
        </is>
      </c>
      <c r="R187" t="inlineStr">
        <is>
          <t>H</t>
        </is>
      </c>
      <c r="S187" t="inlineStr">
        <is>
          <t>I</t>
        </is>
      </c>
      <c r="T187" t="inlineStr">
        <is>
          <t>K</t>
        </is>
      </c>
    </row>
    <row r="188">
      <c r="L188" t="n">
        <v>3897</v>
      </c>
      <c r="M188" t="inlineStr">
        <is>
          <t>E</t>
        </is>
      </c>
      <c r="N188" t="inlineStr">
        <is>
          <t>J</t>
        </is>
      </c>
      <c r="O188" t="inlineStr">
        <is>
          <t>I</t>
        </is>
      </c>
      <c r="P188" t="inlineStr">
        <is>
          <t>D</t>
        </is>
      </c>
      <c r="Q188" t="inlineStr">
        <is>
          <t>A</t>
        </is>
      </c>
      <c r="R188" t="inlineStr">
        <is>
          <t>F</t>
        </is>
      </c>
      <c r="S188" t="inlineStr">
        <is>
          <t>L</t>
        </is>
      </c>
      <c r="T188" t="inlineStr">
        <is>
          <t>K</t>
        </is>
      </c>
    </row>
    <row r="189">
      <c r="L189" t="n">
        <v>3769</v>
      </c>
      <c r="M189" t="inlineStr">
        <is>
          <t>H</t>
        </is>
      </c>
      <c r="N189" t="inlineStr">
        <is>
          <t>J</t>
        </is>
      </c>
      <c r="O189" t="inlineStr">
        <is>
          <t>E</t>
        </is>
      </c>
      <c r="P189" t="inlineStr">
        <is>
          <t>D</t>
        </is>
      </c>
      <c r="Q189" t="inlineStr">
        <is>
          <t>A</t>
        </is>
      </c>
      <c r="R189" t="inlineStr">
        <is>
          <t>F</t>
        </is>
      </c>
      <c r="S189" t="inlineStr">
        <is>
          <t>L</t>
        </is>
      </c>
      <c r="T189" t="inlineStr">
        <is>
          <t>K</t>
        </is>
      </c>
    </row>
    <row r="190">
      <c r="L190" t="n">
        <v>3513</v>
      </c>
      <c r="M190" t="inlineStr">
        <is>
          <t>H</t>
        </is>
      </c>
      <c r="N190" t="inlineStr">
        <is>
          <t>E</t>
        </is>
      </c>
      <c r="O190" t="inlineStr">
        <is>
          <t>I</t>
        </is>
      </c>
      <c r="P190" t="inlineStr">
        <is>
          <t>D</t>
        </is>
      </c>
      <c r="Q190" t="inlineStr">
        <is>
          <t>A</t>
        </is>
      </c>
      <c r="R190" t="inlineStr">
        <is>
          <t>F</t>
        </is>
      </c>
      <c r="S190" t="inlineStr">
        <is>
          <t>L</t>
        </is>
      </c>
      <c r="T190" t="inlineStr">
        <is>
          <t>K</t>
        </is>
      </c>
    </row>
    <row r="191">
      <c r="L191" t="n">
        <v>3001</v>
      </c>
      <c r="M191" t="inlineStr">
        <is>
          <t>H</t>
        </is>
      </c>
      <c r="N191" t="inlineStr">
        <is>
          <t>J</t>
        </is>
      </c>
      <c r="O191" t="inlineStr">
        <is>
          <t>E</t>
        </is>
      </c>
      <c r="P191" t="inlineStr">
        <is>
          <t>D</t>
        </is>
      </c>
      <c r="Q191" t="inlineStr">
        <is>
          <t>A</t>
        </is>
      </c>
      <c r="R191" t="inlineStr">
        <is>
          <t>F</t>
        </is>
      </c>
      <c r="S191" t="inlineStr">
        <is>
          <t>L</t>
        </is>
      </c>
      <c r="T191" t="inlineStr">
        <is>
          <t>I</t>
        </is>
      </c>
    </row>
    <row r="192">
      <c r="L192" t="n">
        <v>1977</v>
      </c>
      <c r="M192" t="inlineStr">
        <is>
          <t>H</t>
        </is>
      </c>
      <c r="N192" t="inlineStr">
        <is>
          <t>J</t>
        </is>
      </c>
      <c r="O192" t="inlineStr">
        <is>
          <t>E</t>
        </is>
      </c>
      <c r="P192" t="inlineStr">
        <is>
          <t>D</t>
        </is>
      </c>
      <c r="Q192" t="inlineStr">
        <is>
          <t>A</t>
        </is>
      </c>
      <c r="R192" t="inlineStr">
        <is>
          <t>F</t>
        </is>
      </c>
      <c r="S192" t="inlineStr">
        <is>
          <t>I</t>
        </is>
      </c>
      <c r="T192" t="inlineStr">
        <is>
          <t>K</t>
        </is>
      </c>
    </row>
    <row r="193">
      <c r="L193" t="n">
        <v>3705</v>
      </c>
      <c r="M193" t="inlineStr">
        <is>
          <t>E</t>
        </is>
      </c>
      <c r="N193" t="inlineStr">
        <is>
          <t>G</t>
        </is>
      </c>
      <c r="O193" t="inlineStr">
        <is>
          <t>J</t>
        </is>
      </c>
      <c r="P193" t="inlineStr">
        <is>
          <t>D</t>
        </is>
      </c>
      <c r="Q193" t="inlineStr">
        <is>
          <t>A</t>
        </is>
      </c>
      <c r="R193" t="inlineStr">
        <is>
          <t>F</t>
        </is>
      </c>
      <c r="S193" t="inlineStr">
        <is>
          <t>L</t>
        </is>
      </c>
      <c r="T193" t="inlineStr">
        <is>
          <t>K</t>
        </is>
      </c>
    </row>
    <row r="194">
      <c r="L194" t="n">
        <v>3449</v>
      </c>
      <c r="M194" t="inlineStr">
        <is>
          <t>E</t>
        </is>
      </c>
      <c r="N194" t="inlineStr">
        <is>
          <t>G</t>
        </is>
      </c>
      <c r="O194" t="inlineStr">
        <is>
          <t>I</t>
        </is>
      </c>
      <c r="P194" t="inlineStr">
        <is>
          <t>D</t>
        </is>
      </c>
      <c r="Q194" t="inlineStr">
        <is>
          <t>A</t>
        </is>
      </c>
      <c r="R194" t="inlineStr">
        <is>
          <t>F</t>
        </is>
      </c>
      <c r="S194" t="inlineStr">
        <is>
          <t>L</t>
        </is>
      </c>
      <c r="T194" t="inlineStr">
        <is>
          <t>K</t>
        </is>
      </c>
    </row>
    <row r="195">
      <c r="L195" t="n">
        <v>2937</v>
      </c>
      <c r="M195" t="inlineStr">
        <is>
          <t>E</t>
        </is>
      </c>
      <c r="N195" t="inlineStr">
        <is>
          <t>G</t>
        </is>
      </c>
      <c r="O195" t="inlineStr">
        <is>
          <t>J</t>
        </is>
      </c>
      <c r="P195" t="inlineStr">
        <is>
          <t>D</t>
        </is>
      </c>
      <c r="Q195" t="inlineStr">
        <is>
          <t>A</t>
        </is>
      </c>
      <c r="R195" t="inlineStr">
        <is>
          <t>F</t>
        </is>
      </c>
      <c r="S195" t="inlineStr">
        <is>
          <t>L</t>
        </is>
      </c>
      <c r="T195" t="inlineStr">
        <is>
          <t>I</t>
        </is>
      </c>
    </row>
    <row r="196">
      <c r="L196" t="n">
        <v>1913</v>
      </c>
      <c r="M196" t="inlineStr">
        <is>
          <t>E</t>
        </is>
      </c>
      <c r="N196" t="inlineStr">
        <is>
          <t>G</t>
        </is>
      </c>
      <c r="O196" t="inlineStr">
        <is>
          <t>J</t>
        </is>
      </c>
      <c r="P196" t="inlineStr">
        <is>
          <t>D</t>
        </is>
      </c>
      <c r="Q196" t="inlineStr">
        <is>
          <t>A</t>
        </is>
      </c>
      <c r="R196" t="inlineStr">
        <is>
          <t>F</t>
        </is>
      </c>
      <c r="S196" t="inlineStr">
        <is>
          <t>I</t>
        </is>
      </c>
      <c r="T196" t="inlineStr">
        <is>
          <t>K</t>
        </is>
      </c>
    </row>
    <row r="197">
      <c r="L197" t="n">
        <v>3321</v>
      </c>
      <c r="M197" t="inlineStr">
        <is>
          <t>H</t>
        </is>
      </c>
      <c r="N197" t="inlineStr">
        <is>
          <t>G</t>
        </is>
      </c>
      <c r="O197" t="inlineStr">
        <is>
          <t>E</t>
        </is>
      </c>
      <c r="P197" t="inlineStr">
        <is>
          <t>D</t>
        </is>
      </c>
      <c r="Q197" t="inlineStr">
        <is>
          <t>A</t>
        </is>
      </c>
      <c r="R197" t="inlineStr">
        <is>
          <t>F</t>
        </is>
      </c>
      <c r="S197" t="inlineStr">
        <is>
          <t>L</t>
        </is>
      </c>
      <c r="T197" t="inlineStr">
        <is>
          <t>K</t>
        </is>
      </c>
    </row>
    <row r="198">
      <c r="L198" t="n">
        <v>2809</v>
      </c>
      <c r="M198" t="inlineStr">
        <is>
          <t>H</t>
        </is>
      </c>
      <c r="N198" t="inlineStr">
        <is>
          <t>G</t>
        </is>
      </c>
      <c r="O198" t="inlineStr">
        <is>
          <t>J</t>
        </is>
      </c>
      <c r="P198" t="inlineStr">
        <is>
          <t>D</t>
        </is>
      </c>
      <c r="Q198" t="inlineStr">
        <is>
          <t>A</t>
        </is>
      </c>
      <c r="R198" t="inlineStr">
        <is>
          <t>F</t>
        </is>
      </c>
      <c r="S198" t="inlineStr">
        <is>
          <t>L</t>
        </is>
      </c>
      <c r="T198" t="inlineStr">
        <is>
          <t>E</t>
        </is>
      </c>
    </row>
    <row r="199">
      <c r="L199" t="n">
        <v>1785</v>
      </c>
      <c r="M199" t="inlineStr">
        <is>
          <t>H</t>
        </is>
      </c>
      <c r="N199" t="inlineStr">
        <is>
          <t>G</t>
        </is>
      </c>
      <c r="O199" t="inlineStr">
        <is>
          <t>J</t>
        </is>
      </c>
      <c r="P199" t="inlineStr">
        <is>
          <t>D</t>
        </is>
      </c>
      <c r="Q199" t="inlineStr">
        <is>
          <t>A</t>
        </is>
      </c>
      <c r="R199" t="inlineStr">
        <is>
          <t>F</t>
        </is>
      </c>
      <c r="S199" t="inlineStr">
        <is>
          <t>E</t>
        </is>
      </c>
      <c r="T199" t="inlineStr">
        <is>
          <t>K</t>
        </is>
      </c>
    </row>
    <row r="200">
      <c r="L200" t="n">
        <v>2553</v>
      </c>
      <c r="M200" t="inlineStr">
        <is>
          <t>H</t>
        </is>
      </c>
      <c r="N200" t="inlineStr">
        <is>
          <t>G</t>
        </is>
      </c>
      <c r="O200" t="inlineStr">
        <is>
          <t>E</t>
        </is>
      </c>
      <c r="P200" t="inlineStr">
        <is>
          <t>D</t>
        </is>
      </c>
      <c r="Q200" t="inlineStr">
        <is>
          <t>A</t>
        </is>
      </c>
      <c r="R200" t="inlineStr">
        <is>
          <t>F</t>
        </is>
      </c>
      <c r="S200" t="inlineStr">
        <is>
          <t>L</t>
        </is>
      </c>
      <c r="T200" t="inlineStr">
        <is>
          <t>I</t>
        </is>
      </c>
    </row>
    <row r="201">
      <c r="L201" t="n">
        <v>1529</v>
      </c>
      <c r="M201" t="inlineStr">
        <is>
          <t>H</t>
        </is>
      </c>
      <c r="N201" t="inlineStr">
        <is>
          <t>G</t>
        </is>
      </c>
      <c r="O201" t="inlineStr">
        <is>
          <t>E</t>
        </is>
      </c>
      <c r="P201" t="inlineStr">
        <is>
          <t>D</t>
        </is>
      </c>
      <c r="Q201" t="inlineStr">
        <is>
          <t>A</t>
        </is>
      </c>
      <c r="R201" t="inlineStr">
        <is>
          <t>F</t>
        </is>
      </c>
      <c r="S201" t="inlineStr">
        <is>
          <t>I</t>
        </is>
      </c>
      <c r="T201" t="inlineStr">
        <is>
          <t>K</t>
        </is>
      </c>
    </row>
    <row r="202">
      <c r="L202" t="n">
        <v>1017</v>
      </c>
      <c r="M202" t="inlineStr">
        <is>
          <t>H</t>
        </is>
      </c>
      <c r="N202" t="inlineStr">
        <is>
          <t>G</t>
        </is>
      </c>
      <c r="O202" t="inlineStr">
        <is>
          <t>J</t>
        </is>
      </c>
      <c r="P202" t="inlineStr">
        <is>
          <t>D</t>
        </is>
      </c>
      <c r="Q202" t="inlineStr">
        <is>
          <t>A</t>
        </is>
      </c>
      <c r="R202" t="inlineStr">
        <is>
          <t>F</t>
        </is>
      </c>
      <c r="S202" t="inlineStr">
        <is>
          <t>E</t>
        </is>
      </c>
      <c r="T202" t="inlineStr">
        <is>
          <t>I</t>
        </is>
      </c>
    </row>
    <row r="203">
      <c r="L203" t="n">
        <v>4037</v>
      </c>
      <c r="M203" t="inlineStr">
        <is>
          <t>H</t>
        </is>
      </c>
      <c r="N203" t="inlineStr">
        <is>
          <t>J</t>
        </is>
      </c>
      <c r="O203" t="inlineStr">
        <is>
          <t>I</t>
        </is>
      </c>
      <c r="P203" t="inlineStr">
        <is>
          <t>C</t>
        </is>
      </c>
      <c r="Q203" t="inlineStr">
        <is>
          <t>A</t>
        </is>
      </c>
      <c r="R203" t="inlineStr">
        <is>
          <t>G</t>
        </is>
      </c>
      <c r="S203" t="inlineStr">
        <is>
          <t>L</t>
        </is>
      </c>
      <c r="T203" t="inlineStr">
        <is>
          <t>K</t>
        </is>
      </c>
    </row>
    <row r="204">
      <c r="L204" t="n">
        <v>4005</v>
      </c>
      <c r="M204" t="inlineStr">
        <is>
          <t>H</t>
        </is>
      </c>
      <c r="N204" t="inlineStr">
        <is>
          <t>J</t>
        </is>
      </c>
      <c r="O204" t="inlineStr">
        <is>
          <t>I</t>
        </is>
      </c>
      <c r="P204" t="inlineStr">
        <is>
          <t>C</t>
        </is>
      </c>
      <c r="Q204" t="inlineStr">
        <is>
          <t>A</t>
        </is>
      </c>
      <c r="R204" t="inlineStr">
        <is>
          <t>F</t>
        </is>
      </c>
      <c r="S204" t="inlineStr">
        <is>
          <t>L</t>
        </is>
      </c>
      <c r="T204" t="inlineStr">
        <is>
          <t>K</t>
        </is>
      </c>
    </row>
    <row r="205">
      <c r="L205" t="n">
        <v>3941</v>
      </c>
      <c r="M205" t="inlineStr">
        <is>
          <t>I</t>
        </is>
      </c>
      <c r="N205" t="inlineStr">
        <is>
          <t>G</t>
        </is>
      </c>
      <c r="O205" t="inlineStr">
        <is>
          <t>J</t>
        </is>
      </c>
      <c r="P205" t="inlineStr">
        <is>
          <t>C</t>
        </is>
      </c>
      <c r="Q205" t="inlineStr">
        <is>
          <t>A</t>
        </is>
      </c>
      <c r="R205" t="inlineStr">
        <is>
          <t>F</t>
        </is>
      </c>
      <c r="S205" t="inlineStr">
        <is>
          <t>L</t>
        </is>
      </c>
      <c r="T205" t="inlineStr">
        <is>
          <t>K</t>
        </is>
      </c>
    </row>
    <row r="206">
      <c r="L206" t="n">
        <v>3813</v>
      </c>
      <c r="M206" t="inlineStr">
        <is>
          <t>H</t>
        </is>
      </c>
      <c r="N206" t="inlineStr">
        <is>
          <t>G</t>
        </is>
      </c>
      <c r="O206" t="inlineStr">
        <is>
          <t>J</t>
        </is>
      </c>
      <c r="P206" t="inlineStr">
        <is>
          <t>C</t>
        </is>
      </c>
      <c r="Q206" t="inlineStr">
        <is>
          <t>A</t>
        </is>
      </c>
      <c r="R206" t="inlineStr">
        <is>
          <t>F</t>
        </is>
      </c>
      <c r="S206" t="inlineStr">
        <is>
          <t>L</t>
        </is>
      </c>
      <c r="T206" t="inlineStr">
        <is>
          <t>K</t>
        </is>
      </c>
    </row>
    <row r="207">
      <c r="L207" t="n">
        <v>3557</v>
      </c>
      <c r="M207" t="inlineStr">
        <is>
          <t>H</t>
        </is>
      </c>
      <c r="N207" t="inlineStr">
        <is>
          <t>G</t>
        </is>
      </c>
      <c r="O207" t="inlineStr">
        <is>
          <t>I</t>
        </is>
      </c>
      <c r="P207" t="inlineStr">
        <is>
          <t>C</t>
        </is>
      </c>
      <c r="Q207" t="inlineStr">
        <is>
          <t>A</t>
        </is>
      </c>
      <c r="R207" t="inlineStr">
        <is>
          <t>F</t>
        </is>
      </c>
      <c r="S207" t="inlineStr">
        <is>
          <t>L</t>
        </is>
      </c>
      <c r="T207" t="inlineStr">
        <is>
          <t>K</t>
        </is>
      </c>
    </row>
    <row r="208">
      <c r="L208" t="n">
        <v>3045</v>
      </c>
      <c r="M208" t="inlineStr">
        <is>
          <t>H</t>
        </is>
      </c>
      <c r="N208" t="inlineStr">
        <is>
          <t>G</t>
        </is>
      </c>
      <c r="O208" t="inlineStr">
        <is>
          <t>J</t>
        </is>
      </c>
      <c r="P208" t="inlineStr">
        <is>
          <t>C</t>
        </is>
      </c>
      <c r="Q208" t="inlineStr">
        <is>
          <t>A</t>
        </is>
      </c>
      <c r="R208" t="inlineStr">
        <is>
          <t>F</t>
        </is>
      </c>
      <c r="S208" t="inlineStr">
        <is>
          <t>L</t>
        </is>
      </c>
      <c r="T208" t="inlineStr">
        <is>
          <t>I</t>
        </is>
      </c>
    </row>
    <row r="209">
      <c r="L209" t="n">
        <v>2021</v>
      </c>
      <c r="M209" t="inlineStr">
        <is>
          <t>H</t>
        </is>
      </c>
      <c r="N209" t="inlineStr">
        <is>
          <t>G</t>
        </is>
      </c>
      <c r="O209" t="inlineStr">
        <is>
          <t>J</t>
        </is>
      </c>
      <c r="P209" t="inlineStr">
        <is>
          <t>C</t>
        </is>
      </c>
      <c r="Q209" t="inlineStr">
        <is>
          <t>A</t>
        </is>
      </c>
      <c r="R209" t="inlineStr">
        <is>
          <t>F</t>
        </is>
      </c>
      <c r="S209" t="inlineStr">
        <is>
          <t>I</t>
        </is>
      </c>
      <c r="T209" t="inlineStr">
        <is>
          <t>K</t>
        </is>
      </c>
    </row>
    <row r="210">
      <c r="L210" t="n">
        <v>3989</v>
      </c>
      <c r="M210" t="inlineStr">
        <is>
          <t>E</t>
        </is>
      </c>
      <c r="N210" t="inlineStr">
        <is>
          <t>J</t>
        </is>
      </c>
      <c r="O210" t="inlineStr">
        <is>
          <t>I</t>
        </is>
      </c>
      <c r="P210" t="inlineStr">
        <is>
          <t>C</t>
        </is>
      </c>
      <c r="Q210" t="inlineStr">
        <is>
          <t>A</t>
        </is>
      </c>
      <c r="R210" t="inlineStr">
        <is>
          <t>H</t>
        </is>
      </c>
      <c r="S210" t="inlineStr">
        <is>
          <t>L</t>
        </is>
      </c>
      <c r="T210" t="inlineStr">
        <is>
          <t>K</t>
        </is>
      </c>
    </row>
    <row r="211">
      <c r="L211" t="n">
        <v>3925</v>
      </c>
      <c r="M211" t="inlineStr">
        <is>
          <t>E</t>
        </is>
      </c>
      <c r="N211" t="inlineStr">
        <is>
          <t>J</t>
        </is>
      </c>
      <c r="O211" t="inlineStr">
        <is>
          <t>I</t>
        </is>
      </c>
      <c r="P211" t="inlineStr">
        <is>
          <t>C</t>
        </is>
      </c>
      <c r="Q211" t="inlineStr">
        <is>
          <t>A</t>
        </is>
      </c>
      <c r="R211" t="inlineStr">
        <is>
          <t>G</t>
        </is>
      </c>
      <c r="S211" t="inlineStr">
        <is>
          <t>L</t>
        </is>
      </c>
      <c r="T211" t="inlineStr">
        <is>
          <t>K</t>
        </is>
      </c>
    </row>
    <row r="212">
      <c r="L212" t="n">
        <v>3797</v>
      </c>
      <c r="M212" t="inlineStr">
        <is>
          <t>E</t>
        </is>
      </c>
      <c r="N212" t="inlineStr">
        <is>
          <t>G</t>
        </is>
      </c>
      <c r="O212" t="inlineStr">
        <is>
          <t>J</t>
        </is>
      </c>
      <c r="P212" t="inlineStr">
        <is>
          <t>C</t>
        </is>
      </c>
      <c r="Q212" t="inlineStr">
        <is>
          <t>A</t>
        </is>
      </c>
      <c r="R212" t="inlineStr">
        <is>
          <t>H</t>
        </is>
      </c>
      <c r="S212" t="inlineStr">
        <is>
          <t>L</t>
        </is>
      </c>
      <c r="T212" t="inlineStr">
        <is>
          <t>K</t>
        </is>
      </c>
    </row>
    <row r="213">
      <c r="L213" t="n">
        <v>3541</v>
      </c>
      <c r="M213" t="inlineStr">
        <is>
          <t>E</t>
        </is>
      </c>
      <c r="N213" t="inlineStr">
        <is>
          <t>G</t>
        </is>
      </c>
      <c r="O213" t="inlineStr">
        <is>
          <t>I</t>
        </is>
      </c>
      <c r="P213" t="inlineStr">
        <is>
          <t>C</t>
        </is>
      </c>
      <c r="Q213" t="inlineStr">
        <is>
          <t>A</t>
        </is>
      </c>
      <c r="R213" t="inlineStr">
        <is>
          <t>H</t>
        </is>
      </c>
      <c r="S213" t="inlineStr">
        <is>
          <t>L</t>
        </is>
      </c>
      <c r="T213" t="inlineStr">
        <is>
          <t>K</t>
        </is>
      </c>
    </row>
    <row r="214">
      <c r="L214" t="n">
        <v>3029</v>
      </c>
      <c r="M214" t="inlineStr">
        <is>
          <t>E</t>
        </is>
      </c>
      <c r="N214" t="inlineStr">
        <is>
          <t>G</t>
        </is>
      </c>
      <c r="O214" t="inlineStr">
        <is>
          <t>J</t>
        </is>
      </c>
      <c r="P214" t="inlineStr">
        <is>
          <t>C</t>
        </is>
      </c>
      <c r="Q214" t="inlineStr">
        <is>
          <t>A</t>
        </is>
      </c>
      <c r="R214" t="inlineStr">
        <is>
          <t>H</t>
        </is>
      </c>
      <c r="S214" t="inlineStr">
        <is>
          <t>L</t>
        </is>
      </c>
      <c r="T214" t="inlineStr">
        <is>
          <t>I</t>
        </is>
      </c>
    </row>
    <row r="215">
      <c r="L215" t="n">
        <v>2005</v>
      </c>
      <c r="M215" t="inlineStr">
        <is>
          <t>E</t>
        </is>
      </c>
      <c r="N215" t="inlineStr">
        <is>
          <t>G</t>
        </is>
      </c>
      <c r="O215" t="inlineStr">
        <is>
          <t>J</t>
        </is>
      </c>
      <c r="P215" t="inlineStr">
        <is>
          <t>C</t>
        </is>
      </c>
      <c r="Q215" t="inlineStr">
        <is>
          <t>A</t>
        </is>
      </c>
      <c r="R215" t="inlineStr">
        <is>
          <t>H</t>
        </is>
      </c>
      <c r="S215" t="inlineStr">
        <is>
          <t>I</t>
        </is>
      </c>
      <c r="T215" t="inlineStr">
        <is>
          <t>K</t>
        </is>
      </c>
    </row>
    <row r="216">
      <c r="L216" t="n">
        <v>3893</v>
      </c>
      <c r="M216" t="inlineStr">
        <is>
          <t>E</t>
        </is>
      </c>
      <c r="N216" t="inlineStr">
        <is>
          <t>J</t>
        </is>
      </c>
      <c r="O216" t="inlineStr">
        <is>
          <t>I</t>
        </is>
      </c>
      <c r="P216" t="inlineStr">
        <is>
          <t>C</t>
        </is>
      </c>
      <c r="Q216" t="inlineStr">
        <is>
          <t>A</t>
        </is>
      </c>
      <c r="R216" t="inlineStr">
        <is>
          <t>F</t>
        </is>
      </c>
      <c r="S216" t="inlineStr">
        <is>
          <t>L</t>
        </is>
      </c>
      <c r="T216" t="inlineStr">
        <is>
          <t>K</t>
        </is>
      </c>
    </row>
    <row r="217">
      <c r="L217" t="n">
        <v>3765</v>
      </c>
      <c r="M217" t="inlineStr">
        <is>
          <t>H</t>
        </is>
      </c>
      <c r="N217" t="inlineStr">
        <is>
          <t>J</t>
        </is>
      </c>
      <c r="O217" t="inlineStr">
        <is>
          <t>E</t>
        </is>
      </c>
      <c r="P217" t="inlineStr">
        <is>
          <t>C</t>
        </is>
      </c>
      <c r="Q217" t="inlineStr">
        <is>
          <t>A</t>
        </is>
      </c>
      <c r="R217" t="inlineStr">
        <is>
          <t>F</t>
        </is>
      </c>
      <c r="S217" t="inlineStr">
        <is>
          <t>L</t>
        </is>
      </c>
      <c r="T217" t="inlineStr">
        <is>
          <t>K</t>
        </is>
      </c>
    </row>
    <row r="218">
      <c r="L218" t="n">
        <v>3509</v>
      </c>
      <c r="M218" t="inlineStr">
        <is>
          <t>H</t>
        </is>
      </c>
      <c r="N218" t="inlineStr">
        <is>
          <t>E</t>
        </is>
      </c>
      <c r="O218" t="inlineStr">
        <is>
          <t>I</t>
        </is>
      </c>
      <c r="P218" t="inlineStr">
        <is>
          <t>C</t>
        </is>
      </c>
      <c r="Q218" t="inlineStr">
        <is>
          <t>A</t>
        </is>
      </c>
      <c r="R218" t="inlineStr">
        <is>
          <t>F</t>
        </is>
      </c>
      <c r="S218" t="inlineStr">
        <is>
          <t>L</t>
        </is>
      </c>
      <c r="T218" t="inlineStr">
        <is>
          <t>K</t>
        </is>
      </c>
    </row>
    <row r="219">
      <c r="L219" t="n">
        <v>2997</v>
      </c>
      <c r="M219" t="inlineStr">
        <is>
          <t>H</t>
        </is>
      </c>
      <c r="N219" t="inlineStr">
        <is>
          <t>J</t>
        </is>
      </c>
      <c r="O219" t="inlineStr">
        <is>
          <t>E</t>
        </is>
      </c>
      <c r="P219" t="inlineStr">
        <is>
          <t>C</t>
        </is>
      </c>
      <c r="Q219" t="inlineStr">
        <is>
          <t>A</t>
        </is>
      </c>
      <c r="R219" t="inlineStr">
        <is>
          <t>F</t>
        </is>
      </c>
      <c r="S219" t="inlineStr">
        <is>
          <t>L</t>
        </is>
      </c>
      <c r="T219" t="inlineStr">
        <is>
          <t>I</t>
        </is>
      </c>
    </row>
    <row r="220">
      <c r="L220" t="n">
        <v>1973</v>
      </c>
      <c r="M220" t="inlineStr">
        <is>
          <t>H</t>
        </is>
      </c>
      <c r="N220" t="inlineStr">
        <is>
          <t>J</t>
        </is>
      </c>
      <c r="O220" t="inlineStr">
        <is>
          <t>E</t>
        </is>
      </c>
      <c r="P220" t="inlineStr">
        <is>
          <t>C</t>
        </is>
      </c>
      <c r="Q220" t="inlineStr">
        <is>
          <t>A</t>
        </is>
      </c>
      <c r="R220" t="inlineStr">
        <is>
          <t>F</t>
        </is>
      </c>
      <c r="S220" t="inlineStr">
        <is>
          <t>I</t>
        </is>
      </c>
      <c r="T220" t="inlineStr">
        <is>
          <t>K</t>
        </is>
      </c>
    </row>
    <row r="221">
      <c r="L221" t="n">
        <v>3701</v>
      </c>
      <c r="M221" t="inlineStr">
        <is>
          <t>E</t>
        </is>
      </c>
      <c r="N221" t="inlineStr">
        <is>
          <t>G</t>
        </is>
      </c>
      <c r="O221" t="inlineStr">
        <is>
          <t>J</t>
        </is>
      </c>
      <c r="P221" t="inlineStr">
        <is>
          <t>C</t>
        </is>
      </c>
      <c r="Q221" t="inlineStr">
        <is>
          <t>A</t>
        </is>
      </c>
      <c r="R221" t="inlineStr">
        <is>
          <t>F</t>
        </is>
      </c>
      <c r="S221" t="inlineStr">
        <is>
          <t>L</t>
        </is>
      </c>
      <c r="T221" t="inlineStr">
        <is>
          <t>K</t>
        </is>
      </c>
    </row>
    <row r="222">
      <c r="L222" t="n">
        <v>3445</v>
      </c>
      <c r="M222" t="inlineStr">
        <is>
          <t>E</t>
        </is>
      </c>
      <c r="N222" t="inlineStr">
        <is>
          <t>G</t>
        </is>
      </c>
      <c r="O222" t="inlineStr">
        <is>
          <t>I</t>
        </is>
      </c>
      <c r="P222" t="inlineStr">
        <is>
          <t>C</t>
        </is>
      </c>
      <c r="Q222" t="inlineStr">
        <is>
          <t>A</t>
        </is>
      </c>
      <c r="R222" t="inlineStr">
        <is>
          <t>F</t>
        </is>
      </c>
      <c r="S222" t="inlineStr">
        <is>
          <t>L</t>
        </is>
      </c>
      <c r="T222" t="inlineStr">
        <is>
          <t>K</t>
        </is>
      </c>
    </row>
    <row r="223">
      <c r="L223" t="n">
        <v>2933</v>
      </c>
      <c r="M223" t="inlineStr">
        <is>
          <t>E</t>
        </is>
      </c>
      <c r="N223" t="inlineStr">
        <is>
          <t>G</t>
        </is>
      </c>
      <c r="O223" t="inlineStr">
        <is>
          <t>J</t>
        </is>
      </c>
      <c r="P223" t="inlineStr">
        <is>
          <t>C</t>
        </is>
      </c>
      <c r="Q223" t="inlineStr">
        <is>
          <t>A</t>
        </is>
      </c>
      <c r="R223" t="inlineStr">
        <is>
          <t>F</t>
        </is>
      </c>
      <c r="S223" t="inlineStr">
        <is>
          <t>L</t>
        </is>
      </c>
      <c r="T223" t="inlineStr">
        <is>
          <t>I</t>
        </is>
      </c>
    </row>
    <row r="224">
      <c r="L224" t="n">
        <v>1909</v>
      </c>
      <c r="M224" t="inlineStr">
        <is>
          <t>E</t>
        </is>
      </c>
      <c r="N224" t="inlineStr">
        <is>
          <t>G</t>
        </is>
      </c>
      <c r="O224" t="inlineStr">
        <is>
          <t>J</t>
        </is>
      </c>
      <c r="P224" t="inlineStr">
        <is>
          <t>C</t>
        </is>
      </c>
      <c r="Q224" t="inlineStr">
        <is>
          <t>A</t>
        </is>
      </c>
      <c r="R224" t="inlineStr">
        <is>
          <t>F</t>
        </is>
      </c>
      <c r="S224" t="inlineStr">
        <is>
          <t>I</t>
        </is>
      </c>
      <c r="T224" t="inlineStr">
        <is>
          <t>K</t>
        </is>
      </c>
    </row>
    <row r="225">
      <c r="L225" t="n">
        <v>3317</v>
      </c>
      <c r="M225" t="inlineStr">
        <is>
          <t>H</t>
        </is>
      </c>
      <c r="N225" t="inlineStr">
        <is>
          <t>G</t>
        </is>
      </c>
      <c r="O225" t="inlineStr">
        <is>
          <t>E</t>
        </is>
      </c>
      <c r="P225" t="inlineStr">
        <is>
          <t>C</t>
        </is>
      </c>
      <c r="Q225" t="inlineStr">
        <is>
          <t>A</t>
        </is>
      </c>
      <c r="R225" t="inlineStr">
        <is>
          <t>F</t>
        </is>
      </c>
      <c r="S225" t="inlineStr">
        <is>
          <t>L</t>
        </is>
      </c>
      <c r="T225" t="inlineStr">
        <is>
          <t>K</t>
        </is>
      </c>
    </row>
    <row r="226">
      <c r="L226" t="n">
        <v>2805</v>
      </c>
      <c r="M226" t="inlineStr">
        <is>
          <t>H</t>
        </is>
      </c>
      <c r="N226" t="inlineStr">
        <is>
          <t>G</t>
        </is>
      </c>
      <c r="O226" t="inlineStr">
        <is>
          <t>J</t>
        </is>
      </c>
      <c r="P226" t="inlineStr">
        <is>
          <t>C</t>
        </is>
      </c>
      <c r="Q226" t="inlineStr">
        <is>
          <t>A</t>
        </is>
      </c>
      <c r="R226" t="inlineStr">
        <is>
          <t>F</t>
        </is>
      </c>
      <c r="S226" t="inlineStr">
        <is>
          <t>L</t>
        </is>
      </c>
      <c r="T226" t="inlineStr">
        <is>
          <t>E</t>
        </is>
      </c>
    </row>
    <row r="227">
      <c r="L227" t="n">
        <v>1781</v>
      </c>
      <c r="M227" t="inlineStr">
        <is>
          <t>H</t>
        </is>
      </c>
      <c r="N227" t="inlineStr">
        <is>
          <t>G</t>
        </is>
      </c>
      <c r="O227" t="inlineStr">
        <is>
          <t>J</t>
        </is>
      </c>
      <c r="P227" t="inlineStr">
        <is>
          <t>C</t>
        </is>
      </c>
      <c r="Q227" t="inlineStr">
        <is>
          <t>A</t>
        </is>
      </c>
      <c r="R227" t="inlineStr">
        <is>
          <t>F</t>
        </is>
      </c>
      <c r="S227" t="inlineStr">
        <is>
          <t>E</t>
        </is>
      </c>
      <c r="T227" t="inlineStr">
        <is>
          <t>K</t>
        </is>
      </c>
    </row>
    <row r="228">
      <c r="L228" t="n">
        <v>2549</v>
      </c>
      <c r="M228" t="inlineStr">
        <is>
          <t>H</t>
        </is>
      </c>
      <c r="N228" t="inlineStr">
        <is>
          <t>G</t>
        </is>
      </c>
      <c r="O228" t="inlineStr">
        <is>
          <t>E</t>
        </is>
      </c>
      <c r="P228" t="inlineStr">
        <is>
          <t>C</t>
        </is>
      </c>
      <c r="Q228" t="inlineStr">
        <is>
          <t>A</t>
        </is>
      </c>
      <c r="R228" t="inlineStr">
        <is>
          <t>F</t>
        </is>
      </c>
      <c r="S228" t="inlineStr">
        <is>
          <t>L</t>
        </is>
      </c>
      <c r="T228" t="inlineStr">
        <is>
          <t>I</t>
        </is>
      </c>
    </row>
    <row r="229">
      <c r="L229" t="n">
        <v>1525</v>
      </c>
      <c r="M229" t="inlineStr">
        <is>
          <t>H</t>
        </is>
      </c>
      <c r="N229" t="inlineStr">
        <is>
          <t>G</t>
        </is>
      </c>
      <c r="O229" t="inlineStr">
        <is>
          <t>E</t>
        </is>
      </c>
      <c r="P229" t="inlineStr">
        <is>
          <t>C</t>
        </is>
      </c>
      <c r="Q229" t="inlineStr">
        <is>
          <t>A</t>
        </is>
      </c>
      <c r="R229" t="inlineStr">
        <is>
          <t>F</t>
        </is>
      </c>
      <c r="S229" t="inlineStr">
        <is>
          <t>I</t>
        </is>
      </c>
      <c r="T229" t="inlineStr">
        <is>
          <t>K</t>
        </is>
      </c>
    </row>
    <row r="230">
      <c r="L230" t="n">
        <v>1013</v>
      </c>
      <c r="M230" t="inlineStr">
        <is>
          <t>H</t>
        </is>
      </c>
      <c r="N230" t="inlineStr">
        <is>
          <t>G</t>
        </is>
      </c>
      <c r="O230" t="inlineStr">
        <is>
          <t>J</t>
        </is>
      </c>
      <c r="P230" t="inlineStr">
        <is>
          <t>C</t>
        </is>
      </c>
      <c r="Q230" t="inlineStr">
        <is>
          <t>A</t>
        </is>
      </c>
      <c r="R230" t="inlineStr">
        <is>
          <t>F</t>
        </is>
      </c>
      <c r="S230" t="inlineStr">
        <is>
          <t>E</t>
        </is>
      </c>
      <c r="T230" t="inlineStr">
        <is>
          <t>I</t>
        </is>
      </c>
    </row>
    <row r="231">
      <c r="L231" t="n">
        <v>3981</v>
      </c>
      <c r="M231" t="inlineStr">
        <is>
          <t>H</t>
        </is>
      </c>
      <c r="N231" t="inlineStr">
        <is>
          <t>J</t>
        </is>
      </c>
      <c r="O231" t="inlineStr">
        <is>
          <t>I</t>
        </is>
      </c>
      <c r="P231" t="inlineStr">
        <is>
          <t>C</t>
        </is>
      </c>
      <c r="Q231" t="inlineStr">
        <is>
          <t>A</t>
        </is>
      </c>
      <c r="R231" t="inlineStr">
        <is>
          <t>D</t>
        </is>
      </c>
      <c r="S231" t="inlineStr">
        <is>
          <t>L</t>
        </is>
      </c>
      <c r="T231" t="inlineStr">
        <is>
          <t>K</t>
        </is>
      </c>
    </row>
    <row r="232">
      <c r="L232" t="n">
        <v>3917</v>
      </c>
      <c r="M232" t="inlineStr">
        <is>
          <t>I</t>
        </is>
      </c>
      <c r="N232" t="inlineStr">
        <is>
          <t>G</t>
        </is>
      </c>
      <c r="O232" t="inlineStr">
        <is>
          <t>J</t>
        </is>
      </c>
      <c r="P232" t="inlineStr">
        <is>
          <t>C</t>
        </is>
      </c>
      <c r="Q232" t="inlineStr">
        <is>
          <t>A</t>
        </is>
      </c>
      <c r="R232" t="inlineStr">
        <is>
          <t>D</t>
        </is>
      </c>
      <c r="S232" t="inlineStr">
        <is>
          <t>L</t>
        </is>
      </c>
      <c r="T232" t="inlineStr">
        <is>
          <t>K</t>
        </is>
      </c>
    </row>
    <row r="233">
      <c r="L233" t="n">
        <v>3789</v>
      </c>
      <c r="M233" t="inlineStr">
        <is>
          <t>H</t>
        </is>
      </c>
      <c r="N233" t="inlineStr">
        <is>
          <t>G</t>
        </is>
      </c>
      <c r="O233" t="inlineStr">
        <is>
          <t>J</t>
        </is>
      </c>
      <c r="P233" t="inlineStr">
        <is>
          <t>C</t>
        </is>
      </c>
      <c r="Q233" t="inlineStr">
        <is>
          <t>A</t>
        </is>
      </c>
      <c r="R233" t="inlineStr">
        <is>
          <t>D</t>
        </is>
      </c>
      <c r="S233" t="inlineStr">
        <is>
          <t>L</t>
        </is>
      </c>
      <c r="T233" t="inlineStr">
        <is>
          <t>K</t>
        </is>
      </c>
    </row>
    <row r="234">
      <c r="L234" t="n">
        <v>3533</v>
      </c>
      <c r="M234" t="inlineStr">
        <is>
          <t>H</t>
        </is>
      </c>
      <c r="N234" t="inlineStr">
        <is>
          <t>G</t>
        </is>
      </c>
      <c r="O234" t="inlineStr">
        <is>
          <t>I</t>
        </is>
      </c>
      <c r="P234" t="inlineStr">
        <is>
          <t>C</t>
        </is>
      </c>
      <c r="Q234" t="inlineStr">
        <is>
          <t>A</t>
        </is>
      </c>
      <c r="R234" t="inlineStr">
        <is>
          <t>D</t>
        </is>
      </c>
      <c r="S234" t="inlineStr">
        <is>
          <t>L</t>
        </is>
      </c>
      <c r="T234" t="inlineStr">
        <is>
          <t>K</t>
        </is>
      </c>
    </row>
    <row r="235">
      <c r="L235" t="n">
        <v>3021</v>
      </c>
      <c r="M235" t="inlineStr">
        <is>
          <t>H</t>
        </is>
      </c>
      <c r="N235" t="inlineStr">
        <is>
          <t>G</t>
        </is>
      </c>
      <c r="O235" t="inlineStr">
        <is>
          <t>J</t>
        </is>
      </c>
      <c r="P235" t="inlineStr">
        <is>
          <t>C</t>
        </is>
      </c>
      <c r="Q235" t="inlineStr">
        <is>
          <t>A</t>
        </is>
      </c>
      <c r="R235" t="inlineStr">
        <is>
          <t>D</t>
        </is>
      </c>
      <c r="S235" t="inlineStr">
        <is>
          <t>L</t>
        </is>
      </c>
      <c r="T235" t="inlineStr">
        <is>
          <t>I</t>
        </is>
      </c>
    </row>
    <row r="236">
      <c r="L236" t="n">
        <v>1997</v>
      </c>
      <c r="M236" t="inlineStr">
        <is>
          <t>H</t>
        </is>
      </c>
      <c r="N236" t="inlineStr">
        <is>
          <t>G</t>
        </is>
      </c>
      <c r="O236" t="inlineStr">
        <is>
          <t>J</t>
        </is>
      </c>
      <c r="P236" t="inlineStr">
        <is>
          <t>C</t>
        </is>
      </c>
      <c r="Q236" t="inlineStr">
        <is>
          <t>A</t>
        </is>
      </c>
      <c r="R236" t="inlineStr">
        <is>
          <t>D</t>
        </is>
      </c>
      <c r="S236" t="inlineStr">
        <is>
          <t>I</t>
        </is>
      </c>
      <c r="T236" t="inlineStr">
        <is>
          <t>K</t>
        </is>
      </c>
    </row>
    <row r="237">
      <c r="L237" t="n">
        <v>3885</v>
      </c>
      <c r="M237" t="inlineStr">
        <is>
          <t>C</t>
        </is>
      </c>
      <c r="N237" t="inlineStr">
        <is>
          <t>J</t>
        </is>
      </c>
      <c r="O237" t="inlineStr">
        <is>
          <t>I</t>
        </is>
      </c>
      <c r="P237" t="inlineStr">
        <is>
          <t>D</t>
        </is>
      </c>
      <c r="Q237" t="inlineStr">
        <is>
          <t>A</t>
        </is>
      </c>
      <c r="R237" t="inlineStr">
        <is>
          <t>F</t>
        </is>
      </c>
      <c r="S237" t="inlineStr">
        <is>
          <t>L</t>
        </is>
      </c>
      <c r="T237" t="inlineStr">
        <is>
          <t>K</t>
        </is>
      </c>
    </row>
    <row r="238">
      <c r="L238" t="n">
        <v>3757</v>
      </c>
      <c r="M238" t="inlineStr">
        <is>
          <t>H</t>
        </is>
      </c>
      <c r="N238" t="inlineStr">
        <is>
          <t>J</t>
        </is>
      </c>
      <c r="O238" t="inlineStr">
        <is>
          <t>F</t>
        </is>
      </c>
      <c r="P238" t="inlineStr">
        <is>
          <t>C</t>
        </is>
      </c>
      <c r="Q238" t="inlineStr">
        <is>
          <t>A</t>
        </is>
      </c>
      <c r="R238" t="inlineStr">
        <is>
          <t>D</t>
        </is>
      </c>
      <c r="S238" t="inlineStr">
        <is>
          <t>L</t>
        </is>
      </c>
      <c r="T238" t="inlineStr">
        <is>
          <t>K</t>
        </is>
      </c>
    </row>
    <row r="239">
      <c r="L239" t="n">
        <v>3501</v>
      </c>
      <c r="M239" t="inlineStr">
        <is>
          <t>H</t>
        </is>
      </c>
      <c r="N239" t="inlineStr">
        <is>
          <t>F</t>
        </is>
      </c>
      <c r="O239" t="inlineStr">
        <is>
          <t>I</t>
        </is>
      </c>
      <c r="P239" t="inlineStr">
        <is>
          <t>C</t>
        </is>
      </c>
      <c r="Q239" t="inlineStr">
        <is>
          <t>A</t>
        </is>
      </c>
      <c r="R239" t="inlineStr">
        <is>
          <t>D</t>
        </is>
      </c>
      <c r="S239" t="inlineStr">
        <is>
          <t>L</t>
        </is>
      </c>
      <c r="T239" t="inlineStr">
        <is>
          <t>K</t>
        </is>
      </c>
    </row>
    <row r="240">
      <c r="L240" t="n">
        <v>2989</v>
      </c>
      <c r="M240" t="inlineStr">
        <is>
          <t>H</t>
        </is>
      </c>
      <c r="N240" t="inlineStr">
        <is>
          <t>J</t>
        </is>
      </c>
      <c r="O240" t="inlineStr">
        <is>
          <t>F</t>
        </is>
      </c>
      <c r="P240" t="inlineStr">
        <is>
          <t>C</t>
        </is>
      </c>
      <c r="Q240" t="inlineStr">
        <is>
          <t>A</t>
        </is>
      </c>
      <c r="R240" t="inlineStr">
        <is>
          <t>D</t>
        </is>
      </c>
      <c r="S240" t="inlineStr">
        <is>
          <t>L</t>
        </is>
      </c>
      <c r="T240" t="inlineStr">
        <is>
          <t>I</t>
        </is>
      </c>
    </row>
    <row r="241">
      <c r="L241" t="n">
        <v>1965</v>
      </c>
      <c r="M241" t="inlineStr">
        <is>
          <t>H</t>
        </is>
      </c>
      <c r="N241" t="inlineStr">
        <is>
          <t>J</t>
        </is>
      </c>
      <c r="O241" t="inlineStr">
        <is>
          <t>F</t>
        </is>
      </c>
      <c r="P241" t="inlineStr">
        <is>
          <t>C</t>
        </is>
      </c>
      <c r="Q241" t="inlineStr">
        <is>
          <t>A</t>
        </is>
      </c>
      <c r="R241" t="inlineStr">
        <is>
          <t>D</t>
        </is>
      </c>
      <c r="S241" t="inlineStr">
        <is>
          <t>I</t>
        </is>
      </c>
      <c r="T241" t="inlineStr">
        <is>
          <t>K</t>
        </is>
      </c>
    </row>
    <row r="242">
      <c r="L242" t="n">
        <v>3693</v>
      </c>
      <c r="M242" t="inlineStr">
        <is>
          <t>C</t>
        </is>
      </c>
      <c r="N242" t="inlineStr">
        <is>
          <t>G</t>
        </is>
      </c>
      <c r="O242" t="inlineStr">
        <is>
          <t>J</t>
        </is>
      </c>
      <c r="P242" t="inlineStr">
        <is>
          <t>D</t>
        </is>
      </c>
      <c r="Q242" t="inlineStr">
        <is>
          <t>A</t>
        </is>
      </c>
      <c r="R242" t="inlineStr">
        <is>
          <t>F</t>
        </is>
      </c>
      <c r="S242" t="inlineStr">
        <is>
          <t>L</t>
        </is>
      </c>
      <c r="T242" t="inlineStr">
        <is>
          <t>K</t>
        </is>
      </c>
    </row>
    <row r="243">
      <c r="L243" t="n">
        <v>3437</v>
      </c>
      <c r="M243" t="inlineStr">
        <is>
          <t>C</t>
        </is>
      </c>
      <c r="N243" t="inlineStr">
        <is>
          <t>G</t>
        </is>
      </c>
      <c r="O243" t="inlineStr">
        <is>
          <t>I</t>
        </is>
      </c>
      <c r="P243" t="inlineStr">
        <is>
          <t>D</t>
        </is>
      </c>
      <c r="Q243" t="inlineStr">
        <is>
          <t>A</t>
        </is>
      </c>
      <c r="R243" t="inlineStr">
        <is>
          <t>F</t>
        </is>
      </c>
      <c r="S243" t="inlineStr">
        <is>
          <t>L</t>
        </is>
      </c>
      <c r="T243" t="inlineStr">
        <is>
          <t>K</t>
        </is>
      </c>
    </row>
    <row r="244">
      <c r="L244" t="n">
        <v>2925</v>
      </c>
      <c r="M244" t="inlineStr">
        <is>
          <t>C</t>
        </is>
      </c>
      <c r="N244" t="inlineStr">
        <is>
          <t>G</t>
        </is>
      </c>
      <c r="O244" t="inlineStr">
        <is>
          <t>J</t>
        </is>
      </c>
      <c r="P244" t="inlineStr">
        <is>
          <t>D</t>
        </is>
      </c>
      <c r="Q244" t="inlineStr">
        <is>
          <t>A</t>
        </is>
      </c>
      <c r="R244" t="inlineStr">
        <is>
          <t>F</t>
        </is>
      </c>
      <c r="S244" t="inlineStr">
        <is>
          <t>L</t>
        </is>
      </c>
      <c r="T244" t="inlineStr">
        <is>
          <t>I</t>
        </is>
      </c>
    </row>
    <row r="245">
      <c r="L245" t="n">
        <v>1901</v>
      </c>
      <c r="M245" t="inlineStr">
        <is>
          <t>C</t>
        </is>
      </c>
      <c r="N245" t="inlineStr">
        <is>
          <t>G</t>
        </is>
      </c>
      <c r="O245" t="inlineStr">
        <is>
          <t>J</t>
        </is>
      </c>
      <c r="P245" t="inlineStr">
        <is>
          <t>D</t>
        </is>
      </c>
      <c r="Q245" t="inlineStr">
        <is>
          <t>A</t>
        </is>
      </c>
      <c r="R245" t="inlineStr">
        <is>
          <t>F</t>
        </is>
      </c>
      <c r="S245" t="inlineStr">
        <is>
          <t>I</t>
        </is>
      </c>
      <c r="T245" t="inlineStr">
        <is>
          <t>K</t>
        </is>
      </c>
    </row>
    <row r="246">
      <c r="L246" t="n">
        <v>3309</v>
      </c>
      <c r="M246" t="inlineStr">
        <is>
          <t>H</t>
        </is>
      </c>
      <c r="N246" t="inlineStr">
        <is>
          <t>G</t>
        </is>
      </c>
      <c r="O246" t="inlineStr">
        <is>
          <t>F</t>
        </is>
      </c>
      <c r="P246" t="inlineStr">
        <is>
          <t>C</t>
        </is>
      </c>
      <c r="Q246" t="inlineStr">
        <is>
          <t>A</t>
        </is>
      </c>
      <c r="R246" t="inlineStr">
        <is>
          <t>D</t>
        </is>
      </c>
      <c r="S246" t="inlineStr">
        <is>
          <t>L</t>
        </is>
      </c>
      <c r="T246" t="inlineStr">
        <is>
          <t>K</t>
        </is>
      </c>
    </row>
    <row r="247">
      <c r="L247" t="n">
        <v>2797</v>
      </c>
      <c r="M247" t="inlineStr">
        <is>
          <t>C</t>
        </is>
      </c>
      <c r="N247" t="inlineStr">
        <is>
          <t>G</t>
        </is>
      </c>
      <c r="O247" t="inlineStr">
        <is>
          <t>J</t>
        </is>
      </c>
      <c r="P247" t="inlineStr">
        <is>
          <t>D</t>
        </is>
      </c>
      <c r="Q247" t="inlineStr">
        <is>
          <t>A</t>
        </is>
      </c>
      <c r="R247" t="inlineStr">
        <is>
          <t>F</t>
        </is>
      </c>
      <c r="S247" t="inlineStr">
        <is>
          <t>L</t>
        </is>
      </c>
      <c r="T247" t="inlineStr">
        <is>
          <t>H</t>
        </is>
      </c>
    </row>
    <row r="248">
      <c r="L248" t="n">
        <v>1773</v>
      </c>
      <c r="M248" t="inlineStr">
        <is>
          <t>H</t>
        </is>
      </c>
      <c r="N248" t="inlineStr">
        <is>
          <t>G</t>
        </is>
      </c>
      <c r="O248" t="inlineStr">
        <is>
          <t>J</t>
        </is>
      </c>
      <c r="P248" t="inlineStr">
        <is>
          <t>C</t>
        </is>
      </c>
      <c r="Q248" t="inlineStr">
        <is>
          <t>A</t>
        </is>
      </c>
      <c r="R248" t="inlineStr">
        <is>
          <t>F</t>
        </is>
      </c>
      <c r="S248" t="inlineStr">
        <is>
          <t>D</t>
        </is>
      </c>
      <c r="T248" t="inlineStr">
        <is>
          <t>K</t>
        </is>
      </c>
    </row>
    <row r="249">
      <c r="L249" t="n">
        <v>2541</v>
      </c>
      <c r="M249" t="inlineStr">
        <is>
          <t>H</t>
        </is>
      </c>
      <c r="N249" t="inlineStr">
        <is>
          <t>G</t>
        </is>
      </c>
      <c r="O249" t="inlineStr">
        <is>
          <t>F</t>
        </is>
      </c>
      <c r="P249" t="inlineStr">
        <is>
          <t>C</t>
        </is>
      </c>
      <c r="Q249" t="inlineStr">
        <is>
          <t>A</t>
        </is>
      </c>
      <c r="R249" t="inlineStr">
        <is>
          <t>D</t>
        </is>
      </c>
      <c r="S249" t="inlineStr">
        <is>
          <t>L</t>
        </is>
      </c>
      <c r="T249" t="inlineStr">
        <is>
          <t>I</t>
        </is>
      </c>
    </row>
    <row r="250">
      <c r="L250" t="n">
        <v>1517</v>
      </c>
      <c r="M250" t="inlineStr">
        <is>
          <t>H</t>
        </is>
      </c>
      <c r="N250" t="inlineStr">
        <is>
          <t>G</t>
        </is>
      </c>
      <c r="O250" t="inlineStr">
        <is>
          <t>F</t>
        </is>
      </c>
      <c r="P250" t="inlineStr">
        <is>
          <t>C</t>
        </is>
      </c>
      <c r="Q250" t="inlineStr">
        <is>
          <t>A</t>
        </is>
      </c>
      <c r="R250" t="inlineStr">
        <is>
          <t>D</t>
        </is>
      </c>
      <c r="S250" t="inlineStr">
        <is>
          <t>I</t>
        </is>
      </c>
      <c r="T250" t="inlineStr">
        <is>
          <t>K</t>
        </is>
      </c>
    </row>
    <row r="251">
      <c r="L251" t="n">
        <v>1005</v>
      </c>
      <c r="M251" t="inlineStr">
        <is>
          <t>H</t>
        </is>
      </c>
      <c r="N251" t="inlineStr">
        <is>
          <t>G</t>
        </is>
      </c>
      <c r="O251" t="inlineStr">
        <is>
          <t>J</t>
        </is>
      </c>
      <c r="P251" t="inlineStr">
        <is>
          <t>C</t>
        </is>
      </c>
      <c r="Q251" t="inlineStr">
        <is>
          <t>A</t>
        </is>
      </c>
      <c r="R251" t="inlineStr">
        <is>
          <t>F</t>
        </is>
      </c>
      <c r="S251" t="inlineStr">
        <is>
          <t>D</t>
        </is>
      </c>
      <c r="T251" t="inlineStr">
        <is>
          <t>I</t>
        </is>
      </c>
    </row>
    <row r="252">
      <c r="L252" t="n">
        <v>3869</v>
      </c>
      <c r="M252" t="inlineStr">
        <is>
          <t>E</t>
        </is>
      </c>
      <c r="N252" t="inlineStr">
        <is>
          <t>J</t>
        </is>
      </c>
      <c r="O252" t="inlineStr">
        <is>
          <t>I</t>
        </is>
      </c>
      <c r="P252" t="inlineStr">
        <is>
          <t>C</t>
        </is>
      </c>
      <c r="Q252" t="inlineStr">
        <is>
          <t>A</t>
        </is>
      </c>
      <c r="R252" t="inlineStr">
        <is>
          <t>D</t>
        </is>
      </c>
      <c r="S252" t="inlineStr">
        <is>
          <t>L</t>
        </is>
      </c>
      <c r="T252" t="inlineStr">
        <is>
          <t>K</t>
        </is>
      </c>
    </row>
    <row r="253">
      <c r="L253" t="n">
        <v>3741</v>
      </c>
      <c r="M253" t="inlineStr">
        <is>
          <t>H</t>
        </is>
      </c>
      <c r="N253" t="inlineStr">
        <is>
          <t>J</t>
        </is>
      </c>
      <c r="O253" t="inlineStr">
        <is>
          <t>E</t>
        </is>
      </c>
      <c r="P253" t="inlineStr">
        <is>
          <t>C</t>
        </is>
      </c>
      <c r="Q253" t="inlineStr">
        <is>
          <t>A</t>
        </is>
      </c>
      <c r="R253" t="inlineStr">
        <is>
          <t>D</t>
        </is>
      </c>
      <c r="S253" t="inlineStr">
        <is>
          <t>L</t>
        </is>
      </c>
      <c r="T253" t="inlineStr">
        <is>
          <t>K</t>
        </is>
      </c>
    </row>
    <row r="254">
      <c r="L254" t="n">
        <v>3485</v>
      </c>
      <c r="M254" t="inlineStr">
        <is>
          <t>H</t>
        </is>
      </c>
      <c r="N254" t="inlineStr">
        <is>
          <t>E</t>
        </is>
      </c>
      <c r="O254" t="inlineStr">
        <is>
          <t>I</t>
        </is>
      </c>
      <c r="P254" t="inlineStr">
        <is>
          <t>C</t>
        </is>
      </c>
      <c r="Q254" t="inlineStr">
        <is>
          <t>A</t>
        </is>
      </c>
      <c r="R254" t="inlineStr">
        <is>
          <t>D</t>
        </is>
      </c>
      <c r="S254" t="inlineStr">
        <is>
          <t>L</t>
        </is>
      </c>
      <c r="T254" t="inlineStr">
        <is>
          <t>K</t>
        </is>
      </c>
    </row>
    <row r="255">
      <c r="L255" t="n">
        <v>2973</v>
      </c>
      <c r="M255" t="inlineStr">
        <is>
          <t>H</t>
        </is>
      </c>
      <c r="N255" t="inlineStr">
        <is>
          <t>J</t>
        </is>
      </c>
      <c r="O255" t="inlineStr">
        <is>
          <t>E</t>
        </is>
      </c>
      <c r="P255" t="inlineStr">
        <is>
          <t>C</t>
        </is>
      </c>
      <c r="Q255" t="inlineStr">
        <is>
          <t>A</t>
        </is>
      </c>
      <c r="R255" t="inlineStr">
        <is>
          <t>D</t>
        </is>
      </c>
      <c r="S255" t="inlineStr">
        <is>
          <t>L</t>
        </is>
      </c>
      <c r="T255" t="inlineStr">
        <is>
          <t>I</t>
        </is>
      </c>
    </row>
    <row r="256">
      <c r="L256" t="n">
        <v>1949</v>
      </c>
      <c r="M256" t="inlineStr">
        <is>
          <t>H</t>
        </is>
      </c>
      <c r="N256" t="inlineStr">
        <is>
          <t>J</t>
        </is>
      </c>
      <c r="O256" t="inlineStr">
        <is>
          <t>E</t>
        </is>
      </c>
      <c r="P256" t="inlineStr">
        <is>
          <t>C</t>
        </is>
      </c>
      <c r="Q256" t="inlineStr">
        <is>
          <t>A</t>
        </is>
      </c>
      <c r="R256" t="inlineStr">
        <is>
          <t>D</t>
        </is>
      </c>
      <c r="S256" t="inlineStr">
        <is>
          <t>I</t>
        </is>
      </c>
      <c r="T256" t="inlineStr">
        <is>
          <t>K</t>
        </is>
      </c>
    </row>
    <row r="257">
      <c r="L257" t="n">
        <v>3677</v>
      </c>
      <c r="M257" t="inlineStr">
        <is>
          <t>E</t>
        </is>
      </c>
      <c r="N257" t="inlineStr">
        <is>
          <t>G</t>
        </is>
      </c>
      <c r="O257" t="inlineStr">
        <is>
          <t>J</t>
        </is>
      </c>
      <c r="P257" t="inlineStr">
        <is>
          <t>C</t>
        </is>
      </c>
      <c r="Q257" t="inlineStr">
        <is>
          <t>A</t>
        </is>
      </c>
      <c r="R257" t="inlineStr">
        <is>
          <t>D</t>
        </is>
      </c>
      <c r="S257" t="inlineStr">
        <is>
          <t>L</t>
        </is>
      </c>
      <c r="T257" t="inlineStr">
        <is>
          <t>K</t>
        </is>
      </c>
    </row>
    <row r="258">
      <c r="L258" t="n">
        <v>3421</v>
      </c>
      <c r="M258" t="inlineStr">
        <is>
          <t>E</t>
        </is>
      </c>
      <c r="N258" t="inlineStr">
        <is>
          <t>G</t>
        </is>
      </c>
      <c r="O258" t="inlineStr">
        <is>
          <t>I</t>
        </is>
      </c>
      <c r="P258" t="inlineStr">
        <is>
          <t>C</t>
        </is>
      </c>
      <c r="Q258" t="inlineStr">
        <is>
          <t>A</t>
        </is>
      </c>
      <c r="R258" t="inlineStr">
        <is>
          <t>D</t>
        </is>
      </c>
      <c r="S258" t="inlineStr">
        <is>
          <t>L</t>
        </is>
      </c>
      <c r="T258" t="inlineStr">
        <is>
          <t>K</t>
        </is>
      </c>
    </row>
    <row r="259">
      <c r="L259" t="n">
        <v>2909</v>
      </c>
      <c r="M259" t="inlineStr">
        <is>
          <t>E</t>
        </is>
      </c>
      <c r="N259" t="inlineStr">
        <is>
          <t>G</t>
        </is>
      </c>
      <c r="O259" t="inlineStr">
        <is>
          <t>J</t>
        </is>
      </c>
      <c r="P259" t="inlineStr">
        <is>
          <t>C</t>
        </is>
      </c>
      <c r="Q259" t="inlineStr">
        <is>
          <t>A</t>
        </is>
      </c>
      <c r="R259" t="inlineStr">
        <is>
          <t>D</t>
        </is>
      </c>
      <c r="S259" t="inlineStr">
        <is>
          <t>L</t>
        </is>
      </c>
      <c r="T259" t="inlineStr">
        <is>
          <t>I</t>
        </is>
      </c>
    </row>
    <row r="260">
      <c r="L260" t="n">
        <v>1885</v>
      </c>
      <c r="M260" t="inlineStr">
        <is>
          <t>E</t>
        </is>
      </c>
      <c r="N260" t="inlineStr">
        <is>
          <t>G</t>
        </is>
      </c>
      <c r="O260" t="inlineStr">
        <is>
          <t>J</t>
        </is>
      </c>
      <c r="P260" t="inlineStr">
        <is>
          <t>C</t>
        </is>
      </c>
      <c r="Q260" t="inlineStr">
        <is>
          <t>A</t>
        </is>
      </c>
      <c r="R260" t="inlineStr">
        <is>
          <t>D</t>
        </is>
      </c>
      <c r="S260" t="inlineStr">
        <is>
          <t>I</t>
        </is>
      </c>
      <c r="T260" t="inlineStr">
        <is>
          <t>K</t>
        </is>
      </c>
    </row>
    <row r="261">
      <c r="L261" t="n">
        <v>3293</v>
      </c>
      <c r="M261" t="inlineStr">
        <is>
          <t>H</t>
        </is>
      </c>
      <c r="N261" t="inlineStr">
        <is>
          <t>G</t>
        </is>
      </c>
      <c r="O261" t="inlineStr">
        <is>
          <t>E</t>
        </is>
      </c>
      <c r="P261" t="inlineStr">
        <is>
          <t>C</t>
        </is>
      </c>
      <c r="Q261" t="inlineStr">
        <is>
          <t>A</t>
        </is>
      </c>
      <c r="R261" t="inlineStr">
        <is>
          <t>D</t>
        </is>
      </c>
      <c r="S261" t="inlineStr">
        <is>
          <t>L</t>
        </is>
      </c>
      <c r="T261" t="inlineStr">
        <is>
          <t>K</t>
        </is>
      </c>
    </row>
    <row r="262">
      <c r="L262" t="n">
        <v>2781</v>
      </c>
      <c r="M262" t="inlineStr">
        <is>
          <t>H</t>
        </is>
      </c>
      <c r="N262" t="inlineStr">
        <is>
          <t>G</t>
        </is>
      </c>
      <c r="O262" t="inlineStr">
        <is>
          <t>J</t>
        </is>
      </c>
      <c r="P262" t="inlineStr">
        <is>
          <t>C</t>
        </is>
      </c>
      <c r="Q262" t="inlineStr">
        <is>
          <t>A</t>
        </is>
      </c>
      <c r="R262" t="inlineStr">
        <is>
          <t>D</t>
        </is>
      </c>
      <c r="S262" t="inlineStr">
        <is>
          <t>L</t>
        </is>
      </c>
      <c r="T262" t="inlineStr">
        <is>
          <t>E</t>
        </is>
      </c>
    </row>
    <row r="263">
      <c r="L263" t="n">
        <v>1757</v>
      </c>
      <c r="M263" t="inlineStr">
        <is>
          <t>H</t>
        </is>
      </c>
      <c r="N263" t="inlineStr">
        <is>
          <t>G</t>
        </is>
      </c>
      <c r="O263" t="inlineStr">
        <is>
          <t>J</t>
        </is>
      </c>
      <c r="P263" t="inlineStr">
        <is>
          <t>C</t>
        </is>
      </c>
      <c r="Q263" t="inlineStr">
        <is>
          <t>A</t>
        </is>
      </c>
      <c r="R263" t="inlineStr">
        <is>
          <t>D</t>
        </is>
      </c>
      <c r="S263" t="inlineStr">
        <is>
          <t>E</t>
        </is>
      </c>
      <c r="T263" t="inlineStr">
        <is>
          <t>K</t>
        </is>
      </c>
    </row>
    <row r="264">
      <c r="L264" t="n">
        <v>2525</v>
      </c>
      <c r="M264" t="inlineStr">
        <is>
          <t>H</t>
        </is>
      </c>
      <c r="N264" t="inlineStr">
        <is>
          <t>G</t>
        </is>
      </c>
      <c r="O264" t="inlineStr">
        <is>
          <t>E</t>
        </is>
      </c>
      <c r="P264" t="inlineStr">
        <is>
          <t>C</t>
        </is>
      </c>
      <c r="Q264" t="inlineStr">
        <is>
          <t>A</t>
        </is>
      </c>
      <c r="R264" t="inlineStr">
        <is>
          <t>D</t>
        </is>
      </c>
      <c r="S264" t="inlineStr">
        <is>
          <t>L</t>
        </is>
      </c>
      <c r="T264" t="inlineStr">
        <is>
          <t>I</t>
        </is>
      </c>
    </row>
    <row r="265">
      <c r="L265" t="n">
        <v>1501</v>
      </c>
      <c r="M265" t="inlineStr">
        <is>
          <t>H</t>
        </is>
      </c>
      <c r="N265" t="inlineStr">
        <is>
          <t>G</t>
        </is>
      </c>
      <c r="O265" t="inlineStr">
        <is>
          <t>E</t>
        </is>
      </c>
      <c r="P265" t="inlineStr">
        <is>
          <t>C</t>
        </is>
      </c>
      <c r="Q265" t="inlineStr">
        <is>
          <t>A</t>
        </is>
      </c>
      <c r="R265" t="inlineStr">
        <is>
          <t>D</t>
        </is>
      </c>
      <c r="S265" t="inlineStr">
        <is>
          <t>I</t>
        </is>
      </c>
      <c r="T265" t="inlineStr">
        <is>
          <t>K</t>
        </is>
      </c>
    </row>
    <row r="266">
      <c r="L266" t="n">
        <v>989</v>
      </c>
      <c r="M266" t="inlineStr">
        <is>
          <t>H</t>
        </is>
      </c>
      <c r="N266" t="inlineStr">
        <is>
          <t>G</t>
        </is>
      </c>
      <c r="O266" t="inlineStr">
        <is>
          <t>J</t>
        </is>
      </c>
      <c r="P266" t="inlineStr">
        <is>
          <t>C</t>
        </is>
      </c>
      <c r="Q266" t="inlineStr">
        <is>
          <t>A</t>
        </is>
      </c>
      <c r="R266" t="inlineStr">
        <is>
          <t>D</t>
        </is>
      </c>
      <c r="S266" t="inlineStr">
        <is>
          <t>E</t>
        </is>
      </c>
      <c r="T266" t="inlineStr">
        <is>
          <t>I</t>
        </is>
      </c>
    </row>
    <row r="267">
      <c r="L267" t="n">
        <v>3645</v>
      </c>
      <c r="M267" t="inlineStr">
        <is>
          <t>C</t>
        </is>
      </c>
      <c r="N267" t="inlineStr">
        <is>
          <t>J</t>
        </is>
      </c>
      <c r="O267" t="inlineStr">
        <is>
          <t>E</t>
        </is>
      </c>
      <c r="P267" t="inlineStr">
        <is>
          <t>D</t>
        </is>
      </c>
      <c r="Q267" t="inlineStr">
        <is>
          <t>A</t>
        </is>
      </c>
      <c r="R267" t="inlineStr">
        <is>
          <t>F</t>
        </is>
      </c>
      <c r="S267" t="inlineStr">
        <is>
          <t>L</t>
        </is>
      </c>
      <c r="T267" t="inlineStr">
        <is>
          <t>K</t>
        </is>
      </c>
    </row>
    <row r="268">
      <c r="L268" t="n">
        <v>3389</v>
      </c>
      <c r="M268" t="inlineStr">
        <is>
          <t>C</t>
        </is>
      </c>
      <c r="N268" t="inlineStr">
        <is>
          <t>E</t>
        </is>
      </c>
      <c r="O268" t="inlineStr">
        <is>
          <t>I</t>
        </is>
      </c>
      <c r="P268" t="inlineStr">
        <is>
          <t>D</t>
        </is>
      </c>
      <c r="Q268" t="inlineStr">
        <is>
          <t>A</t>
        </is>
      </c>
      <c r="R268" t="inlineStr">
        <is>
          <t>F</t>
        </is>
      </c>
      <c r="S268" t="inlineStr">
        <is>
          <t>L</t>
        </is>
      </c>
      <c r="T268" t="inlineStr">
        <is>
          <t>K</t>
        </is>
      </c>
    </row>
    <row r="269">
      <c r="L269" t="n">
        <v>2877</v>
      </c>
      <c r="M269" t="inlineStr">
        <is>
          <t>C</t>
        </is>
      </c>
      <c r="N269" t="inlineStr">
        <is>
          <t>J</t>
        </is>
      </c>
      <c r="O269" t="inlineStr">
        <is>
          <t>E</t>
        </is>
      </c>
      <c r="P269" t="inlineStr">
        <is>
          <t>D</t>
        </is>
      </c>
      <c r="Q269" t="inlineStr">
        <is>
          <t>A</t>
        </is>
      </c>
      <c r="R269" t="inlineStr">
        <is>
          <t>F</t>
        </is>
      </c>
      <c r="S269" t="inlineStr">
        <is>
          <t>L</t>
        </is>
      </c>
      <c r="T269" t="inlineStr">
        <is>
          <t>I</t>
        </is>
      </c>
    </row>
    <row r="270">
      <c r="L270" t="n">
        <v>1853</v>
      </c>
      <c r="M270" t="inlineStr">
        <is>
          <t>C</t>
        </is>
      </c>
      <c r="N270" t="inlineStr">
        <is>
          <t>J</t>
        </is>
      </c>
      <c r="O270" t="inlineStr">
        <is>
          <t>E</t>
        </is>
      </c>
      <c r="P270" t="inlineStr">
        <is>
          <t>D</t>
        </is>
      </c>
      <c r="Q270" t="inlineStr">
        <is>
          <t>A</t>
        </is>
      </c>
      <c r="R270" t="inlineStr">
        <is>
          <t>F</t>
        </is>
      </c>
      <c r="S270" t="inlineStr">
        <is>
          <t>I</t>
        </is>
      </c>
      <c r="T270" t="inlineStr">
        <is>
          <t>K</t>
        </is>
      </c>
    </row>
    <row r="271">
      <c r="L271" t="n">
        <v>3261</v>
      </c>
      <c r="M271" t="inlineStr">
        <is>
          <t>H</t>
        </is>
      </c>
      <c r="N271" t="inlineStr">
        <is>
          <t>E</t>
        </is>
      </c>
      <c r="O271" t="inlineStr">
        <is>
          <t>F</t>
        </is>
      </c>
      <c r="P271" t="inlineStr">
        <is>
          <t>C</t>
        </is>
      </c>
      <c r="Q271" t="inlineStr">
        <is>
          <t>A</t>
        </is>
      </c>
      <c r="R271" t="inlineStr">
        <is>
          <t>D</t>
        </is>
      </c>
      <c r="S271" t="inlineStr">
        <is>
          <t>L</t>
        </is>
      </c>
      <c r="T271" t="inlineStr">
        <is>
          <t>K</t>
        </is>
      </c>
    </row>
    <row r="272">
      <c r="L272" t="n">
        <v>2749</v>
      </c>
      <c r="M272" t="inlineStr">
        <is>
          <t>H</t>
        </is>
      </c>
      <c r="N272" t="inlineStr">
        <is>
          <t>J</t>
        </is>
      </c>
      <c r="O272" t="inlineStr">
        <is>
          <t>F</t>
        </is>
      </c>
      <c r="P272" t="inlineStr">
        <is>
          <t>C</t>
        </is>
      </c>
      <c r="Q272" t="inlineStr">
        <is>
          <t>A</t>
        </is>
      </c>
      <c r="R272" t="inlineStr">
        <is>
          <t>D</t>
        </is>
      </c>
      <c r="S272" t="inlineStr">
        <is>
          <t>L</t>
        </is>
      </c>
      <c r="T272" t="inlineStr">
        <is>
          <t>E</t>
        </is>
      </c>
    </row>
    <row r="273">
      <c r="L273" t="n">
        <v>1725</v>
      </c>
      <c r="M273" t="inlineStr">
        <is>
          <t>H</t>
        </is>
      </c>
      <c r="N273" t="inlineStr">
        <is>
          <t>J</t>
        </is>
      </c>
      <c r="O273" t="inlineStr">
        <is>
          <t>E</t>
        </is>
      </c>
      <c r="P273" t="inlineStr">
        <is>
          <t>C</t>
        </is>
      </c>
      <c r="Q273" t="inlineStr">
        <is>
          <t>A</t>
        </is>
      </c>
      <c r="R273" t="inlineStr">
        <is>
          <t>F</t>
        </is>
      </c>
      <c r="S273" t="inlineStr">
        <is>
          <t>D</t>
        </is>
      </c>
      <c r="T273" t="inlineStr">
        <is>
          <t>K</t>
        </is>
      </c>
    </row>
    <row r="274">
      <c r="L274" t="n">
        <v>2493</v>
      </c>
      <c r="M274" t="inlineStr">
        <is>
          <t>H</t>
        </is>
      </c>
      <c r="N274" t="inlineStr">
        <is>
          <t>E</t>
        </is>
      </c>
      <c r="O274" t="inlineStr">
        <is>
          <t>F</t>
        </is>
      </c>
      <c r="P274" t="inlineStr">
        <is>
          <t>C</t>
        </is>
      </c>
      <c r="Q274" t="inlineStr">
        <is>
          <t>A</t>
        </is>
      </c>
      <c r="R274" t="inlineStr">
        <is>
          <t>D</t>
        </is>
      </c>
      <c r="S274" t="inlineStr">
        <is>
          <t>L</t>
        </is>
      </c>
      <c r="T274" t="inlineStr">
        <is>
          <t>I</t>
        </is>
      </c>
    </row>
    <row r="275">
      <c r="L275" t="n">
        <v>1469</v>
      </c>
      <c r="M275" t="inlineStr">
        <is>
          <t>H</t>
        </is>
      </c>
      <c r="N275" t="inlineStr">
        <is>
          <t>E</t>
        </is>
      </c>
      <c r="O275" t="inlineStr">
        <is>
          <t>F</t>
        </is>
      </c>
      <c r="P275" t="inlineStr">
        <is>
          <t>C</t>
        </is>
      </c>
      <c r="Q275" t="inlineStr">
        <is>
          <t>A</t>
        </is>
      </c>
      <c r="R275" t="inlineStr">
        <is>
          <t>D</t>
        </is>
      </c>
      <c r="S275" t="inlineStr">
        <is>
          <t>I</t>
        </is>
      </c>
      <c r="T275" t="inlineStr">
        <is>
          <t>K</t>
        </is>
      </c>
    </row>
    <row r="276">
      <c r="L276" t="n">
        <v>957</v>
      </c>
      <c r="M276" t="inlineStr">
        <is>
          <t>H</t>
        </is>
      </c>
      <c r="N276" t="inlineStr">
        <is>
          <t>J</t>
        </is>
      </c>
      <c r="O276" t="inlineStr">
        <is>
          <t>E</t>
        </is>
      </c>
      <c r="P276" t="inlineStr">
        <is>
          <t>C</t>
        </is>
      </c>
      <c r="Q276" t="inlineStr">
        <is>
          <t>A</t>
        </is>
      </c>
      <c r="R276" t="inlineStr">
        <is>
          <t>F</t>
        </is>
      </c>
      <c r="S276" t="inlineStr">
        <is>
          <t>D</t>
        </is>
      </c>
      <c r="T276" t="inlineStr">
        <is>
          <t>I</t>
        </is>
      </c>
    </row>
    <row r="277">
      <c r="L277" t="n">
        <v>3197</v>
      </c>
      <c r="M277" t="inlineStr">
        <is>
          <t>C</t>
        </is>
      </c>
      <c r="N277" t="inlineStr">
        <is>
          <t>G</t>
        </is>
      </c>
      <c r="O277" t="inlineStr">
        <is>
          <t>E</t>
        </is>
      </c>
      <c r="P277" t="inlineStr">
        <is>
          <t>D</t>
        </is>
      </c>
      <c r="Q277" t="inlineStr">
        <is>
          <t>A</t>
        </is>
      </c>
      <c r="R277" t="inlineStr">
        <is>
          <t>F</t>
        </is>
      </c>
      <c r="S277" t="inlineStr">
        <is>
          <t>L</t>
        </is>
      </c>
      <c r="T277" t="inlineStr">
        <is>
          <t>K</t>
        </is>
      </c>
    </row>
    <row r="278">
      <c r="L278" t="n">
        <v>2685</v>
      </c>
      <c r="M278" t="inlineStr">
        <is>
          <t>C</t>
        </is>
      </c>
      <c r="N278" t="inlineStr">
        <is>
          <t>G</t>
        </is>
      </c>
      <c r="O278" t="inlineStr">
        <is>
          <t>J</t>
        </is>
      </c>
      <c r="P278" t="inlineStr">
        <is>
          <t>D</t>
        </is>
      </c>
      <c r="Q278" t="inlineStr">
        <is>
          <t>A</t>
        </is>
      </c>
      <c r="R278" t="inlineStr">
        <is>
          <t>F</t>
        </is>
      </c>
      <c r="S278" t="inlineStr">
        <is>
          <t>L</t>
        </is>
      </c>
      <c r="T278" t="inlineStr">
        <is>
          <t>E</t>
        </is>
      </c>
    </row>
    <row r="279">
      <c r="L279" t="n">
        <v>1661</v>
      </c>
      <c r="M279" t="inlineStr">
        <is>
          <t>C</t>
        </is>
      </c>
      <c r="N279" t="inlineStr">
        <is>
          <t>G</t>
        </is>
      </c>
      <c r="O279" t="inlineStr">
        <is>
          <t>J</t>
        </is>
      </c>
      <c r="P279" t="inlineStr">
        <is>
          <t>D</t>
        </is>
      </c>
      <c r="Q279" t="inlineStr">
        <is>
          <t>A</t>
        </is>
      </c>
      <c r="R279" t="inlineStr">
        <is>
          <t>F</t>
        </is>
      </c>
      <c r="S279" t="inlineStr">
        <is>
          <t>E</t>
        </is>
      </c>
      <c r="T279" t="inlineStr">
        <is>
          <t>K</t>
        </is>
      </c>
    </row>
    <row r="280">
      <c r="L280" t="n">
        <v>2429</v>
      </c>
      <c r="M280" t="inlineStr">
        <is>
          <t>C</t>
        </is>
      </c>
      <c r="N280" t="inlineStr">
        <is>
          <t>G</t>
        </is>
      </c>
      <c r="O280" t="inlineStr">
        <is>
          <t>E</t>
        </is>
      </c>
      <c r="P280" t="inlineStr">
        <is>
          <t>D</t>
        </is>
      </c>
      <c r="Q280" t="inlineStr">
        <is>
          <t>A</t>
        </is>
      </c>
      <c r="R280" t="inlineStr">
        <is>
          <t>F</t>
        </is>
      </c>
      <c r="S280" t="inlineStr">
        <is>
          <t>L</t>
        </is>
      </c>
      <c r="T280" t="inlineStr">
        <is>
          <t>I</t>
        </is>
      </c>
    </row>
    <row r="281">
      <c r="L281" t="n">
        <v>1405</v>
      </c>
      <c r="M281" t="inlineStr">
        <is>
          <t>C</t>
        </is>
      </c>
      <c r="N281" t="inlineStr">
        <is>
          <t>G</t>
        </is>
      </c>
      <c r="O281" t="inlineStr">
        <is>
          <t>E</t>
        </is>
      </c>
      <c r="P281" t="inlineStr">
        <is>
          <t>D</t>
        </is>
      </c>
      <c r="Q281" t="inlineStr">
        <is>
          <t>A</t>
        </is>
      </c>
      <c r="R281" t="inlineStr">
        <is>
          <t>F</t>
        </is>
      </c>
      <c r="S281" t="inlineStr">
        <is>
          <t>I</t>
        </is>
      </c>
      <c r="T281" t="inlineStr">
        <is>
          <t>K</t>
        </is>
      </c>
    </row>
    <row r="282">
      <c r="L282" t="n">
        <v>893</v>
      </c>
      <c r="M282" t="inlineStr">
        <is>
          <t>C</t>
        </is>
      </c>
      <c r="N282" t="inlineStr">
        <is>
          <t>G</t>
        </is>
      </c>
      <c r="O282" t="inlineStr">
        <is>
          <t>J</t>
        </is>
      </c>
      <c r="P282" t="inlineStr">
        <is>
          <t>D</t>
        </is>
      </c>
      <c r="Q282" t="inlineStr">
        <is>
          <t>A</t>
        </is>
      </c>
      <c r="R282" t="inlineStr">
        <is>
          <t>F</t>
        </is>
      </c>
      <c r="S282" t="inlineStr">
        <is>
          <t>E</t>
        </is>
      </c>
      <c r="T282" t="inlineStr">
        <is>
          <t>I</t>
        </is>
      </c>
    </row>
    <row r="283">
      <c r="L283" t="n">
        <v>2301</v>
      </c>
      <c r="M283" t="inlineStr">
        <is>
          <t>H</t>
        </is>
      </c>
      <c r="N283" t="inlineStr">
        <is>
          <t>G</t>
        </is>
      </c>
      <c r="O283" t="inlineStr">
        <is>
          <t>F</t>
        </is>
      </c>
      <c r="P283" t="inlineStr">
        <is>
          <t>C</t>
        </is>
      </c>
      <c r="Q283" t="inlineStr">
        <is>
          <t>A</t>
        </is>
      </c>
      <c r="R283" t="inlineStr">
        <is>
          <t>D</t>
        </is>
      </c>
      <c r="S283" t="inlineStr">
        <is>
          <t>L</t>
        </is>
      </c>
      <c r="T283" t="inlineStr">
        <is>
          <t>E</t>
        </is>
      </c>
    </row>
    <row r="284">
      <c r="L284" t="n">
        <v>1277</v>
      </c>
      <c r="M284" t="inlineStr">
        <is>
          <t>H</t>
        </is>
      </c>
      <c r="N284" t="inlineStr">
        <is>
          <t>G</t>
        </is>
      </c>
      <c r="O284" t="inlineStr">
        <is>
          <t>E</t>
        </is>
      </c>
      <c r="P284" t="inlineStr">
        <is>
          <t>C</t>
        </is>
      </c>
      <c r="Q284" t="inlineStr">
        <is>
          <t>A</t>
        </is>
      </c>
      <c r="R284" t="inlineStr">
        <is>
          <t>F</t>
        </is>
      </c>
      <c r="S284" t="inlineStr">
        <is>
          <t>D</t>
        </is>
      </c>
      <c r="T284" t="inlineStr">
        <is>
          <t>K</t>
        </is>
      </c>
    </row>
    <row r="285">
      <c r="L285" t="n">
        <v>765</v>
      </c>
      <c r="M285" t="inlineStr">
        <is>
          <t>H</t>
        </is>
      </c>
      <c r="N285" t="inlineStr">
        <is>
          <t>G</t>
        </is>
      </c>
      <c r="O285" t="inlineStr">
        <is>
          <t>J</t>
        </is>
      </c>
      <c r="P285" t="inlineStr">
        <is>
          <t>C</t>
        </is>
      </c>
      <c r="Q285" t="inlineStr">
        <is>
          <t>A</t>
        </is>
      </c>
      <c r="R285" t="inlineStr">
        <is>
          <t>F</t>
        </is>
      </c>
      <c r="S285" t="inlineStr">
        <is>
          <t>D</t>
        </is>
      </c>
      <c r="T285" t="inlineStr">
        <is>
          <t>E</t>
        </is>
      </c>
    </row>
    <row r="286">
      <c r="L286" t="n">
        <v>509</v>
      </c>
      <c r="M286" t="inlineStr">
        <is>
          <t>H</t>
        </is>
      </c>
      <c r="N286" t="inlineStr">
        <is>
          <t>G</t>
        </is>
      </c>
      <c r="O286" t="inlineStr">
        <is>
          <t>E</t>
        </is>
      </c>
      <c r="P286" t="inlineStr">
        <is>
          <t>C</t>
        </is>
      </c>
      <c r="Q286" t="inlineStr">
        <is>
          <t>A</t>
        </is>
      </c>
      <c r="R286" t="inlineStr">
        <is>
          <t>F</t>
        </is>
      </c>
      <c r="S286" t="inlineStr">
        <is>
          <t>D</t>
        </is>
      </c>
      <c r="T286" t="inlineStr">
        <is>
          <t>I</t>
        </is>
      </c>
    </row>
    <row r="287">
      <c r="L287" t="n">
        <v>4035</v>
      </c>
      <c r="M287" t="inlineStr">
        <is>
          <t>H</t>
        </is>
      </c>
      <c r="N287" t="inlineStr">
        <is>
          <t>J</t>
        </is>
      </c>
      <c r="O287" t="inlineStr">
        <is>
          <t>B</t>
        </is>
      </c>
      <c r="P287" t="inlineStr">
        <is>
          <t>A</t>
        </is>
      </c>
      <c r="Q287" t="inlineStr">
        <is>
          <t>I</t>
        </is>
      </c>
      <c r="R287" t="inlineStr">
        <is>
          <t>G</t>
        </is>
      </c>
      <c r="S287" t="inlineStr">
        <is>
          <t>L</t>
        </is>
      </c>
      <c r="T287" t="inlineStr">
        <is>
          <t>K</t>
        </is>
      </c>
    </row>
    <row r="288">
      <c r="L288" t="n">
        <v>4003</v>
      </c>
      <c r="M288" t="inlineStr">
        <is>
          <t>H</t>
        </is>
      </c>
      <c r="N288" t="inlineStr">
        <is>
          <t>J</t>
        </is>
      </c>
      <c r="O288" t="inlineStr">
        <is>
          <t>B</t>
        </is>
      </c>
      <c r="P288" t="inlineStr">
        <is>
          <t>A</t>
        </is>
      </c>
      <c r="Q288" t="inlineStr">
        <is>
          <t>I</t>
        </is>
      </c>
      <c r="R288" t="inlineStr">
        <is>
          <t>F</t>
        </is>
      </c>
      <c r="S288" t="inlineStr">
        <is>
          <t>L</t>
        </is>
      </c>
      <c r="T288" t="inlineStr">
        <is>
          <t>K</t>
        </is>
      </c>
    </row>
    <row r="289">
      <c r="L289" t="n">
        <v>3939</v>
      </c>
      <c r="M289" t="inlineStr">
        <is>
          <t>I</t>
        </is>
      </c>
      <c r="N289" t="inlineStr">
        <is>
          <t>J</t>
        </is>
      </c>
      <c r="O289" t="inlineStr">
        <is>
          <t>B</t>
        </is>
      </c>
      <c r="P289" t="inlineStr">
        <is>
          <t>F</t>
        </is>
      </c>
      <c r="Q289" t="inlineStr">
        <is>
          <t>A</t>
        </is>
      </c>
      <c r="R289" t="inlineStr">
        <is>
          <t>G</t>
        </is>
      </c>
      <c r="S289" t="inlineStr">
        <is>
          <t>L</t>
        </is>
      </c>
      <c r="T289" t="inlineStr">
        <is>
          <t>K</t>
        </is>
      </c>
    </row>
    <row r="290">
      <c r="L290" t="n">
        <v>3811</v>
      </c>
      <c r="M290" t="inlineStr">
        <is>
          <t>H</t>
        </is>
      </c>
      <c r="N290" t="inlineStr">
        <is>
          <t>J</t>
        </is>
      </c>
      <c r="O290" t="inlineStr">
        <is>
          <t>B</t>
        </is>
      </c>
      <c r="P290" t="inlineStr">
        <is>
          <t>F</t>
        </is>
      </c>
      <c r="Q290" t="inlineStr">
        <is>
          <t>A</t>
        </is>
      </c>
      <c r="R290" t="inlineStr">
        <is>
          <t>G</t>
        </is>
      </c>
      <c r="S290" t="inlineStr">
        <is>
          <t>L</t>
        </is>
      </c>
      <c r="T290" t="inlineStr">
        <is>
          <t>K</t>
        </is>
      </c>
    </row>
    <row r="291">
      <c r="L291" t="n">
        <v>3555</v>
      </c>
      <c r="M291" t="inlineStr">
        <is>
          <t>H</t>
        </is>
      </c>
      <c r="N291" t="inlineStr">
        <is>
          <t>G</t>
        </is>
      </c>
      <c r="O291" t="inlineStr">
        <is>
          <t>B</t>
        </is>
      </c>
      <c r="P291" t="inlineStr">
        <is>
          <t>A</t>
        </is>
      </c>
      <c r="Q291" t="inlineStr">
        <is>
          <t>I</t>
        </is>
      </c>
      <c r="R291" t="inlineStr">
        <is>
          <t>F</t>
        </is>
      </c>
      <c r="S291" t="inlineStr">
        <is>
          <t>L</t>
        </is>
      </c>
      <c r="T291" t="inlineStr">
        <is>
          <t>K</t>
        </is>
      </c>
    </row>
    <row r="292">
      <c r="L292" t="n">
        <v>3043</v>
      </c>
      <c r="M292" t="inlineStr">
        <is>
          <t>H</t>
        </is>
      </c>
      <c r="N292" t="inlineStr">
        <is>
          <t>J</t>
        </is>
      </c>
      <c r="O292" t="inlineStr">
        <is>
          <t>B</t>
        </is>
      </c>
      <c r="P292" t="inlineStr">
        <is>
          <t>F</t>
        </is>
      </c>
      <c r="Q292" t="inlineStr">
        <is>
          <t>A</t>
        </is>
      </c>
      <c r="R292" t="inlineStr">
        <is>
          <t>G</t>
        </is>
      </c>
      <c r="S292" t="inlineStr">
        <is>
          <t>L</t>
        </is>
      </c>
      <c r="T292" t="inlineStr">
        <is>
          <t>I</t>
        </is>
      </c>
    </row>
    <row r="293">
      <c r="L293" t="n">
        <v>2019</v>
      </c>
      <c r="M293" t="inlineStr">
        <is>
          <t>H</t>
        </is>
      </c>
      <c r="N293" t="inlineStr">
        <is>
          <t>J</t>
        </is>
      </c>
      <c r="O293" t="inlineStr">
        <is>
          <t>B</t>
        </is>
      </c>
      <c r="P293" t="inlineStr">
        <is>
          <t>F</t>
        </is>
      </c>
      <c r="Q293" t="inlineStr">
        <is>
          <t>A</t>
        </is>
      </c>
      <c r="R293" t="inlineStr">
        <is>
          <t>G</t>
        </is>
      </c>
      <c r="S293" t="inlineStr">
        <is>
          <t>I</t>
        </is>
      </c>
      <c r="T293" t="inlineStr">
        <is>
          <t>K</t>
        </is>
      </c>
    </row>
    <row r="294">
      <c r="L294" t="n">
        <v>3987</v>
      </c>
      <c r="M294" t="inlineStr">
        <is>
          <t>E</t>
        </is>
      </c>
      <c r="N294" t="inlineStr">
        <is>
          <t>J</t>
        </is>
      </c>
      <c r="O294" t="inlineStr">
        <is>
          <t>B</t>
        </is>
      </c>
      <c r="P294" t="inlineStr">
        <is>
          <t>A</t>
        </is>
      </c>
      <c r="Q294" t="inlineStr">
        <is>
          <t>I</t>
        </is>
      </c>
      <c r="R294" t="inlineStr">
        <is>
          <t>H</t>
        </is>
      </c>
      <c r="S294" t="inlineStr">
        <is>
          <t>L</t>
        </is>
      </c>
      <c r="T294" t="inlineStr">
        <is>
          <t>K</t>
        </is>
      </c>
    </row>
    <row r="295">
      <c r="L295" t="n">
        <v>3923</v>
      </c>
      <c r="M295" t="inlineStr">
        <is>
          <t>E</t>
        </is>
      </c>
      <c r="N295" t="inlineStr">
        <is>
          <t>J</t>
        </is>
      </c>
      <c r="O295" t="inlineStr">
        <is>
          <t>B</t>
        </is>
      </c>
      <c r="P295" t="inlineStr">
        <is>
          <t>A</t>
        </is>
      </c>
      <c r="Q295" t="inlineStr">
        <is>
          <t>I</t>
        </is>
      </c>
      <c r="R295" t="inlineStr">
        <is>
          <t>G</t>
        </is>
      </c>
      <c r="S295" t="inlineStr">
        <is>
          <t>L</t>
        </is>
      </c>
      <c r="T295" t="inlineStr">
        <is>
          <t>K</t>
        </is>
      </c>
    </row>
    <row r="296">
      <c r="L296" t="n">
        <v>3795</v>
      </c>
      <c r="M296" t="inlineStr">
        <is>
          <t>E</t>
        </is>
      </c>
      <c r="N296" t="inlineStr">
        <is>
          <t>J</t>
        </is>
      </c>
      <c r="O296" t="inlineStr">
        <is>
          <t>B</t>
        </is>
      </c>
      <c r="P296" t="inlineStr">
        <is>
          <t>A</t>
        </is>
      </c>
      <c r="Q296" t="inlineStr">
        <is>
          <t>H</t>
        </is>
      </c>
      <c r="R296" t="inlineStr">
        <is>
          <t>G</t>
        </is>
      </c>
      <c r="S296" t="inlineStr">
        <is>
          <t>L</t>
        </is>
      </c>
      <c r="T296" t="inlineStr">
        <is>
          <t>K</t>
        </is>
      </c>
    </row>
    <row r="297">
      <c r="L297" t="n">
        <v>3539</v>
      </c>
      <c r="M297" t="inlineStr">
        <is>
          <t>E</t>
        </is>
      </c>
      <c r="N297" t="inlineStr">
        <is>
          <t>G</t>
        </is>
      </c>
      <c r="O297" t="inlineStr">
        <is>
          <t>B</t>
        </is>
      </c>
      <c r="P297" t="inlineStr">
        <is>
          <t>A</t>
        </is>
      </c>
      <c r="Q297" t="inlineStr">
        <is>
          <t>I</t>
        </is>
      </c>
      <c r="R297" t="inlineStr">
        <is>
          <t>H</t>
        </is>
      </c>
      <c r="S297" t="inlineStr">
        <is>
          <t>L</t>
        </is>
      </c>
      <c r="T297" t="inlineStr">
        <is>
          <t>K</t>
        </is>
      </c>
    </row>
    <row r="298">
      <c r="L298" t="n">
        <v>3027</v>
      </c>
      <c r="M298" t="inlineStr">
        <is>
          <t>E</t>
        </is>
      </c>
      <c r="N298" t="inlineStr">
        <is>
          <t>J</t>
        </is>
      </c>
      <c r="O298" t="inlineStr">
        <is>
          <t>B</t>
        </is>
      </c>
      <c r="P298" t="inlineStr">
        <is>
          <t>A</t>
        </is>
      </c>
      <c r="Q298" t="inlineStr">
        <is>
          <t>H</t>
        </is>
      </c>
      <c r="R298" t="inlineStr">
        <is>
          <t>G</t>
        </is>
      </c>
      <c r="S298" t="inlineStr">
        <is>
          <t>L</t>
        </is>
      </c>
      <c r="T298" t="inlineStr">
        <is>
          <t>I</t>
        </is>
      </c>
    </row>
    <row r="299">
      <c r="L299" t="n">
        <v>2003</v>
      </c>
      <c r="M299" t="inlineStr">
        <is>
          <t>E</t>
        </is>
      </c>
      <c r="N299" t="inlineStr">
        <is>
          <t>J</t>
        </is>
      </c>
      <c r="O299" t="inlineStr">
        <is>
          <t>B</t>
        </is>
      </c>
      <c r="P299" t="inlineStr">
        <is>
          <t>A</t>
        </is>
      </c>
      <c r="Q299" t="inlineStr">
        <is>
          <t>H</t>
        </is>
      </c>
      <c r="R299" t="inlineStr">
        <is>
          <t>G</t>
        </is>
      </c>
      <c r="S299" t="inlineStr">
        <is>
          <t>I</t>
        </is>
      </c>
      <c r="T299" t="inlineStr">
        <is>
          <t>K</t>
        </is>
      </c>
    </row>
    <row r="300">
      <c r="L300" t="n">
        <v>3891</v>
      </c>
      <c r="M300" t="inlineStr">
        <is>
          <t>E</t>
        </is>
      </c>
      <c r="N300" t="inlineStr">
        <is>
          <t>J</t>
        </is>
      </c>
      <c r="O300" t="inlineStr">
        <is>
          <t>B</t>
        </is>
      </c>
      <c r="P300" t="inlineStr">
        <is>
          <t>A</t>
        </is>
      </c>
      <c r="Q300" t="inlineStr">
        <is>
          <t>I</t>
        </is>
      </c>
      <c r="R300" t="inlineStr">
        <is>
          <t>F</t>
        </is>
      </c>
      <c r="S300" t="inlineStr">
        <is>
          <t>L</t>
        </is>
      </c>
      <c r="T300" t="inlineStr">
        <is>
          <t>K</t>
        </is>
      </c>
    </row>
    <row r="301">
      <c r="L301" t="n">
        <v>3763</v>
      </c>
      <c r="M301" t="inlineStr">
        <is>
          <t>E</t>
        </is>
      </c>
      <c r="N301" t="inlineStr">
        <is>
          <t>J</t>
        </is>
      </c>
      <c r="O301" t="inlineStr">
        <is>
          <t>B</t>
        </is>
      </c>
      <c r="P301" t="inlineStr">
        <is>
          <t>F</t>
        </is>
      </c>
      <c r="Q301" t="inlineStr">
        <is>
          <t>A</t>
        </is>
      </c>
      <c r="R301" t="inlineStr">
        <is>
          <t>H</t>
        </is>
      </c>
      <c r="S301" t="inlineStr">
        <is>
          <t>L</t>
        </is>
      </c>
      <c r="T301" t="inlineStr">
        <is>
          <t>K</t>
        </is>
      </c>
    </row>
    <row r="302">
      <c r="L302" t="n">
        <v>3507</v>
      </c>
      <c r="M302" t="inlineStr">
        <is>
          <t>E</t>
        </is>
      </c>
      <c r="N302" t="inlineStr">
        <is>
          <t>I</t>
        </is>
      </c>
      <c r="O302" t="inlineStr">
        <is>
          <t>B</t>
        </is>
      </c>
      <c r="P302" t="inlineStr">
        <is>
          <t>F</t>
        </is>
      </c>
      <c r="Q302" t="inlineStr">
        <is>
          <t>A</t>
        </is>
      </c>
      <c r="R302" t="inlineStr">
        <is>
          <t>H</t>
        </is>
      </c>
      <c r="S302" t="inlineStr">
        <is>
          <t>L</t>
        </is>
      </c>
      <c r="T302" t="inlineStr">
        <is>
          <t>K</t>
        </is>
      </c>
    </row>
    <row r="303">
      <c r="L303" t="n">
        <v>2995</v>
      </c>
      <c r="M303" t="inlineStr">
        <is>
          <t>E</t>
        </is>
      </c>
      <c r="N303" t="inlineStr">
        <is>
          <t>J</t>
        </is>
      </c>
      <c r="O303" t="inlineStr">
        <is>
          <t>B</t>
        </is>
      </c>
      <c r="P303" t="inlineStr">
        <is>
          <t>F</t>
        </is>
      </c>
      <c r="Q303" t="inlineStr">
        <is>
          <t>A</t>
        </is>
      </c>
      <c r="R303" t="inlineStr">
        <is>
          <t>H</t>
        </is>
      </c>
      <c r="S303" t="inlineStr">
        <is>
          <t>L</t>
        </is>
      </c>
      <c r="T303" t="inlineStr">
        <is>
          <t>I</t>
        </is>
      </c>
    </row>
    <row r="304">
      <c r="L304" t="n">
        <v>1971</v>
      </c>
      <c r="M304" t="inlineStr">
        <is>
          <t>E</t>
        </is>
      </c>
      <c r="N304" t="inlineStr">
        <is>
          <t>J</t>
        </is>
      </c>
      <c r="O304" t="inlineStr">
        <is>
          <t>B</t>
        </is>
      </c>
      <c r="P304" t="inlineStr">
        <is>
          <t>F</t>
        </is>
      </c>
      <c r="Q304" t="inlineStr">
        <is>
          <t>A</t>
        </is>
      </c>
      <c r="R304" t="inlineStr">
        <is>
          <t>H</t>
        </is>
      </c>
      <c r="S304" t="inlineStr">
        <is>
          <t>I</t>
        </is>
      </c>
      <c r="T304" t="inlineStr">
        <is>
          <t>K</t>
        </is>
      </c>
    </row>
    <row r="305">
      <c r="L305" t="n">
        <v>3699</v>
      </c>
      <c r="M305" t="inlineStr">
        <is>
          <t>E</t>
        </is>
      </c>
      <c r="N305" t="inlineStr">
        <is>
          <t>J</t>
        </is>
      </c>
      <c r="O305" t="inlineStr">
        <is>
          <t>B</t>
        </is>
      </c>
      <c r="P305" t="inlineStr">
        <is>
          <t>F</t>
        </is>
      </c>
      <c r="Q305" t="inlineStr">
        <is>
          <t>A</t>
        </is>
      </c>
      <c r="R305" t="inlineStr">
        <is>
          <t>G</t>
        </is>
      </c>
      <c r="S305" t="inlineStr">
        <is>
          <t>L</t>
        </is>
      </c>
      <c r="T305" t="inlineStr">
        <is>
          <t>K</t>
        </is>
      </c>
    </row>
    <row r="306">
      <c r="L306" t="n">
        <v>3443</v>
      </c>
      <c r="M306" t="inlineStr">
        <is>
          <t>E</t>
        </is>
      </c>
      <c r="N306" t="inlineStr">
        <is>
          <t>G</t>
        </is>
      </c>
      <c r="O306" t="inlineStr">
        <is>
          <t>B</t>
        </is>
      </c>
      <c r="P306" t="inlineStr">
        <is>
          <t>A</t>
        </is>
      </c>
      <c r="Q306" t="inlineStr">
        <is>
          <t>I</t>
        </is>
      </c>
      <c r="R306" t="inlineStr">
        <is>
          <t>F</t>
        </is>
      </c>
      <c r="S306" t="inlineStr">
        <is>
          <t>L</t>
        </is>
      </c>
      <c r="T306" t="inlineStr">
        <is>
          <t>K</t>
        </is>
      </c>
    </row>
    <row r="307">
      <c r="L307" t="n">
        <v>2931</v>
      </c>
      <c r="M307" t="inlineStr">
        <is>
          <t>E</t>
        </is>
      </c>
      <c r="N307" t="inlineStr">
        <is>
          <t>J</t>
        </is>
      </c>
      <c r="O307" t="inlineStr">
        <is>
          <t>B</t>
        </is>
      </c>
      <c r="P307" t="inlineStr">
        <is>
          <t>F</t>
        </is>
      </c>
      <c r="Q307" t="inlineStr">
        <is>
          <t>A</t>
        </is>
      </c>
      <c r="R307" t="inlineStr">
        <is>
          <t>G</t>
        </is>
      </c>
      <c r="S307" t="inlineStr">
        <is>
          <t>L</t>
        </is>
      </c>
      <c r="T307" t="inlineStr">
        <is>
          <t>I</t>
        </is>
      </c>
    </row>
    <row r="308">
      <c r="L308" t="n">
        <v>1907</v>
      </c>
      <c r="M308" t="inlineStr">
        <is>
          <t>E</t>
        </is>
      </c>
      <c r="N308" t="inlineStr">
        <is>
          <t>J</t>
        </is>
      </c>
      <c r="O308" t="inlineStr">
        <is>
          <t>B</t>
        </is>
      </c>
      <c r="P308" t="inlineStr">
        <is>
          <t>F</t>
        </is>
      </c>
      <c r="Q308" t="inlineStr">
        <is>
          <t>A</t>
        </is>
      </c>
      <c r="R308" t="inlineStr">
        <is>
          <t>G</t>
        </is>
      </c>
      <c r="S308" t="inlineStr">
        <is>
          <t>I</t>
        </is>
      </c>
      <c r="T308" t="inlineStr">
        <is>
          <t>K</t>
        </is>
      </c>
    </row>
    <row r="309">
      <c r="L309" t="n">
        <v>3315</v>
      </c>
      <c r="M309" t="inlineStr">
        <is>
          <t>E</t>
        </is>
      </c>
      <c r="N309" t="inlineStr">
        <is>
          <t>G</t>
        </is>
      </c>
      <c r="O309" t="inlineStr">
        <is>
          <t>B</t>
        </is>
      </c>
      <c r="P309" t="inlineStr">
        <is>
          <t>F</t>
        </is>
      </c>
      <c r="Q309" t="inlineStr">
        <is>
          <t>A</t>
        </is>
      </c>
      <c r="R309" t="inlineStr">
        <is>
          <t>H</t>
        </is>
      </c>
      <c r="S309" t="inlineStr">
        <is>
          <t>L</t>
        </is>
      </c>
      <c r="T309" t="inlineStr">
        <is>
          <t>K</t>
        </is>
      </c>
    </row>
    <row r="310">
      <c r="L310" t="n">
        <v>2803</v>
      </c>
      <c r="M310" t="inlineStr">
        <is>
          <t>H</t>
        </is>
      </c>
      <c r="N310" t="inlineStr">
        <is>
          <t>J</t>
        </is>
      </c>
      <c r="O310" t="inlineStr">
        <is>
          <t>B</t>
        </is>
      </c>
      <c r="P310" t="inlineStr">
        <is>
          <t>F</t>
        </is>
      </c>
      <c r="Q310" t="inlineStr">
        <is>
          <t>A</t>
        </is>
      </c>
      <c r="R310" t="inlineStr">
        <is>
          <t>G</t>
        </is>
      </c>
      <c r="S310" t="inlineStr">
        <is>
          <t>L</t>
        </is>
      </c>
      <c r="T310" t="inlineStr">
        <is>
          <t>E</t>
        </is>
      </c>
    </row>
    <row r="311">
      <c r="L311" t="n">
        <v>1779</v>
      </c>
      <c r="M311" t="inlineStr">
        <is>
          <t>H</t>
        </is>
      </c>
      <c r="N311" t="inlineStr">
        <is>
          <t>J</t>
        </is>
      </c>
      <c r="O311" t="inlineStr">
        <is>
          <t>B</t>
        </is>
      </c>
      <c r="P311" t="inlineStr">
        <is>
          <t>F</t>
        </is>
      </c>
      <c r="Q311" t="inlineStr">
        <is>
          <t>A</t>
        </is>
      </c>
      <c r="R311" t="inlineStr">
        <is>
          <t>G</t>
        </is>
      </c>
      <c r="S311" t="inlineStr">
        <is>
          <t>E</t>
        </is>
      </c>
      <c r="T311" t="inlineStr">
        <is>
          <t>K</t>
        </is>
      </c>
    </row>
    <row r="312">
      <c r="L312" t="n">
        <v>2547</v>
      </c>
      <c r="M312" t="inlineStr">
        <is>
          <t>E</t>
        </is>
      </c>
      <c r="N312" t="inlineStr">
        <is>
          <t>G</t>
        </is>
      </c>
      <c r="O312" t="inlineStr">
        <is>
          <t>B</t>
        </is>
      </c>
      <c r="P312" t="inlineStr">
        <is>
          <t>F</t>
        </is>
      </c>
      <c r="Q312" t="inlineStr">
        <is>
          <t>A</t>
        </is>
      </c>
      <c r="R312" t="inlineStr">
        <is>
          <t>H</t>
        </is>
      </c>
      <c r="S312" t="inlineStr">
        <is>
          <t>L</t>
        </is>
      </c>
      <c r="T312" t="inlineStr">
        <is>
          <t>I</t>
        </is>
      </c>
    </row>
    <row r="313">
      <c r="L313" t="n">
        <v>1523</v>
      </c>
      <c r="M313" t="inlineStr">
        <is>
          <t>E</t>
        </is>
      </c>
      <c r="N313" t="inlineStr">
        <is>
          <t>G</t>
        </is>
      </c>
      <c r="O313" t="inlineStr">
        <is>
          <t>B</t>
        </is>
      </c>
      <c r="P313" t="inlineStr">
        <is>
          <t>F</t>
        </is>
      </c>
      <c r="Q313" t="inlineStr">
        <is>
          <t>A</t>
        </is>
      </c>
      <c r="R313" t="inlineStr">
        <is>
          <t>H</t>
        </is>
      </c>
      <c r="S313" t="inlineStr">
        <is>
          <t>I</t>
        </is>
      </c>
      <c r="T313" t="inlineStr">
        <is>
          <t>K</t>
        </is>
      </c>
    </row>
    <row r="314">
      <c r="L314" t="n">
        <v>1011</v>
      </c>
      <c r="M314" t="inlineStr">
        <is>
          <t>H</t>
        </is>
      </c>
      <c r="N314" t="inlineStr">
        <is>
          <t>J</t>
        </is>
      </c>
      <c r="O314" t="inlineStr">
        <is>
          <t>B</t>
        </is>
      </c>
      <c r="P314" t="inlineStr">
        <is>
          <t>F</t>
        </is>
      </c>
      <c r="Q314" t="inlineStr">
        <is>
          <t>A</t>
        </is>
      </c>
      <c r="R314" t="inlineStr">
        <is>
          <t>G</t>
        </is>
      </c>
      <c r="S314" t="inlineStr">
        <is>
          <t>E</t>
        </is>
      </c>
      <c r="T314" t="inlineStr">
        <is>
          <t>I</t>
        </is>
      </c>
    </row>
    <row r="315">
      <c r="L315" t="n">
        <v>3979</v>
      </c>
      <c r="M315" t="inlineStr">
        <is>
          <t>I</t>
        </is>
      </c>
      <c r="N315" t="inlineStr">
        <is>
          <t>J</t>
        </is>
      </c>
      <c r="O315" t="inlineStr">
        <is>
          <t>B</t>
        </is>
      </c>
      <c r="P315" t="inlineStr">
        <is>
          <t>D</t>
        </is>
      </c>
      <c r="Q315" t="inlineStr">
        <is>
          <t>A</t>
        </is>
      </c>
      <c r="R315" t="inlineStr">
        <is>
          <t>H</t>
        </is>
      </c>
      <c r="S315" t="inlineStr">
        <is>
          <t>L</t>
        </is>
      </c>
      <c r="T315" t="inlineStr">
        <is>
          <t>K</t>
        </is>
      </c>
    </row>
    <row r="316">
      <c r="L316" t="n">
        <v>3915</v>
      </c>
      <c r="M316" t="inlineStr">
        <is>
          <t>I</t>
        </is>
      </c>
      <c r="N316" t="inlineStr">
        <is>
          <t>J</t>
        </is>
      </c>
      <c r="O316" t="inlineStr">
        <is>
          <t>B</t>
        </is>
      </c>
      <c r="P316" t="inlineStr">
        <is>
          <t>D</t>
        </is>
      </c>
      <c r="Q316" t="inlineStr">
        <is>
          <t>A</t>
        </is>
      </c>
      <c r="R316" t="inlineStr">
        <is>
          <t>G</t>
        </is>
      </c>
      <c r="S316" t="inlineStr">
        <is>
          <t>L</t>
        </is>
      </c>
      <c r="T316" t="inlineStr">
        <is>
          <t>K</t>
        </is>
      </c>
    </row>
    <row r="317">
      <c r="L317" t="n">
        <v>3787</v>
      </c>
      <c r="M317" t="inlineStr">
        <is>
          <t>H</t>
        </is>
      </c>
      <c r="N317" t="inlineStr">
        <is>
          <t>J</t>
        </is>
      </c>
      <c r="O317" t="inlineStr">
        <is>
          <t>B</t>
        </is>
      </c>
      <c r="P317" t="inlineStr">
        <is>
          <t>D</t>
        </is>
      </c>
      <c r="Q317" t="inlineStr">
        <is>
          <t>A</t>
        </is>
      </c>
      <c r="R317" t="inlineStr">
        <is>
          <t>G</t>
        </is>
      </c>
      <c r="S317" t="inlineStr">
        <is>
          <t>L</t>
        </is>
      </c>
      <c r="T317" t="inlineStr">
        <is>
          <t>K</t>
        </is>
      </c>
    </row>
    <row r="318">
      <c r="L318" t="n">
        <v>3531</v>
      </c>
      <c r="M318" t="inlineStr">
        <is>
          <t>I</t>
        </is>
      </c>
      <c r="N318" t="inlineStr">
        <is>
          <t>G</t>
        </is>
      </c>
      <c r="O318" t="inlineStr">
        <is>
          <t>B</t>
        </is>
      </c>
      <c r="P318" t="inlineStr">
        <is>
          <t>D</t>
        </is>
      </c>
      <c r="Q318" t="inlineStr">
        <is>
          <t>A</t>
        </is>
      </c>
      <c r="R318" t="inlineStr">
        <is>
          <t>H</t>
        </is>
      </c>
      <c r="S318" t="inlineStr">
        <is>
          <t>L</t>
        </is>
      </c>
      <c r="T318" t="inlineStr">
        <is>
          <t>K</t>
        </is>
      </c>
    </row>
    <row r="319">
      <c r="L319" t="n">
        <v>3019</v>
      </c>
      <c r="M319" t="inlineStr">
        <is>
          <t>H</t>
        </is>
      </c>
      <c r="N319" t="inlineStr">
        <is>
          <t>J</t>
        </is>
      </c>
      <c r="O319" t="inlineStr">
        <is>
          <t>B</t>
        </is>
      </c>
      <c r="P319" t="inlineStr">
        <is>
          <t>D</t>
        </is>
      </c>
      <c r="Q319" t="inlineStr">
        <is>
          <t>A</t>
        </is>
      </c>
      <c r="R319" t="inlineStr">
        <is>
          <t>G</t>
        </is>
      </c>
      <c r="S319" t="inlineStr">
        <is>
          <t>L</t>
        </is>
      </c>
      <c r="T319" t="inlineStr">
        <is>
          <t>I</t>
        </is>
      </c>
    </row>
    <row r="320">
      <c r="L320" t="n">
        <v>1995</v>
      </c>
      <c r="M320" t="inlineStr">
        <is>
          <t>H</t>
        </is>
      </c>
      <c r="N320" t="inlineStr">
        <is>
          <t>J</t>
        </is>
      </c>
      <c r="O320" t="inlineStr">
        <is>
          <t>B</t>
        </is>
      </c>
      <c r="P320" t="inlineStr">
        <is>
          <t>D</t>
        </is>
      </c>
      <c r="Q320" t="inlineStr">
        <is>
          <t>A</t>
        </is>
      </c>
      <c r="R320" t="inlineStr">
        <is>
          <t>G</t>
        </is>
      </c>
      <c r="S320" t="inlineStr">
        <is>
          <t>I</t>
        </is>
      </c>
      <c r="T320" t="inlineStr">
        <is>
          <t>K</t>
        </is>
      </c>
    </row>
    <row r="321">
      <c r="L321" t="n">
        <v>3883</v>
      </c>
      <c r="M321" t="inlineStr">
        <is>
          <t>I</t>
        </is>
      </c>
      <c r="N321" t="inlineStr">
        <is>
          <t>J</t>
        </is>
      </c>
      <c r="O321" t="inlineStr">
        <is>
          <t>B</t>
        </is>
      </c>
      <c r="P321" t="inlineStr">
        <is>
          <t>D</t>
        </is>
      </c>
      <c r="Q321" t="inlineStr">
        <is>
          <t>A</t>
        </is>
      </c>
      <c r="R321" t="inlineStr">
        <is>
          <t>F</t>
        </is>
      </c>
      <c r="S321" t="inlineStr">
        <is>
          <t>L</t>
        </is>
      </c>
      <c r="T321" t="inlineStr">
        <is>
          <t>K</t>
        </is>
      </c>
    </row>
    <row r="322">
      <c r="L322" t="n">
        <v>3755</v>
      </c>
      <c r="M322" t="inlineStr">
        <is>
          <t>H</t>
        </is>
      </c>
      <c r="N322" t="inlineStr">
        <is>
          <t>J</t>
        </is>
      </c>
      <c r="O322" t="inlineStr">
        <is>
          <t>B</t>
        </is>
      </c>
      <c r="P322" t="inlineStr">
        <is>
          <t>D</t>
        </is>
      </c>
      <c r="Q322" t="inlineStr">
        <is>
          <t>A</t>
        </is>
      </c>
      <c r="R322" t="inlineStr">
        <is>
          <t>F</t>
        </is>
      </c>
      <c r="S322" t="inlineStr">
        <is>
          <t>L</t>
        </is>
      </c>
      <c r="T322" t="inlineStr">
        <is>
          <t>K</t>
        </is>
      </c>
    </row>
    <row r="323">
      <c r="L323" t="n">
        <v>3499</v>
      </c>
      <c r="M323" t="inlineStr">
        <is>
          <t>H</t>
        </is>
      </c>
      <c r="N323" t="inlineStr">
        <is>
          <t>I</t>
        </is>
      </c>
      <c r="O323" t="inlineStr">
        <is>
          <t>B</t>
        </is>
      </c>
      <c r="P323" t="inlineStr">
        <is>
          <t>D</t>
        </is>
      </c>
      <c r="Q323" t="inlineStr">
        <is>
          <t>A</t>
        </is>
      </c>
      <c r="R323" t="inlineStr">
        <is>
          <t>F</t>
        </is>
      </c>
      <c r="S323" t="inlineStr">
        <is>
          <t>L</t>
        </is>
      </c>
      <c r="T323" t="inlineStr">
        <is>
          <t>K</t>
        </is>
      </c>
    </row>
    <row r="324">
      <c r="L324" t="n">
        <v>2987</v>
      </c>
      <c r="M324" t="inlineStr">
        <is>
          <t>H</t>
        </is>
      </c>
      <c r="N324" t="inlineStr">
        <is>
          <t>J</t>
        </is>
      </c>
      <c r="O324" t="inlineStr">
        <is>
          <t>B</t>
        </is>
      </c>
      <c r="P324" t="inlineStr">
        <is>
          <t>D</t>
        </is>
      </c>
      <c r="Q324" t="inlineStr">
        <is>
          <t>A</t>
        </is>
      </c>
      <c r="R324" t="inlineStr">
        <is>
          <t>F</t>
        </is>
      </c>
      <c r="S324" t="inlineStr">
        <is>
          <t>L</t>
        </is>
      </c>
      <c r="T324" t="inlineStr">
        <is>
          <t>I</t>
        </is>
      </c>
    </row>
    <row r="325">
      <c r="L325" t="n">
        <v>1963</v>
      </c>
      <c r="M325" t="inlineStr">
        <is>
          <t>H</t>
        </is>
      </c>
      <c r="N325" t="inlineStr">
        <is>
          <t>J</t>
        </is>
      </c>
      <c r="O325" t="inlineStr">
        <is>
          <t>B</t>
        </is>
      </c>
      <c r="P325" t="inlineStr">
        <is>
          <t>D</t>
        </is>
      </c>
      <c r="Q325" t="inlineStr">
        <is>
          <t>A</t>
        </is>
      </c>
      <c r="R325" t="inlineStr">
        <is>
          <t>F</t>
        </is>
      </c>
      <c r="S325" t="inlineStr">
        <is>
          <t>I</t>
        </is>
      </c>
      <c r="T325" t="inlineStr">
        <is>
          <t>K</t>
        </is>
      </c>
    </row>
    <row r="326">
      <c r="L326" t="n">
        <v>3691</v>
      </c>
      <c r="M326" t="inlineStr">
        <is>
          <t>F</t>
        </is>
      </c>
      <c r="N326" t="inlineStr">
        <is>
          <t>J</t>
        </is>
      </c>
      <c r="O326" t="inlineStr">
        <is>
          <t>B</t>
        </is>
      </c>
      <c r="P326" t="inlineStr">
        <is>
          <t>D</t>
        </is>
      </c>
      <c r="Q326" t="inlineStr">
        <is>
          <t>A</t>
        </is>
      </c>
      <c r="R326" t="inlineStr">
        <is>
          <t>G</t>
        </is>
      </c>
      <c r="S326" t="inlineStr">
        <is>
          <t>L</t>
        </is>
      </c>
      <c r="T326" t="inlineStr">
        <is>
          <t>K</t>
        </is>
      </c>
    </row>
    <row r="327">
      <c r="L327" t="n">
        <v>3435</v>
      </c>
      <c r="M327" t="inlineStr">
        <is>
          <t>I</t>
        </is>
      </c>
      <c r="N327" t="inlineStr">
        <is>
          <t>G</t>
        </is>
      </c>
      <c r="O327" t="inlineStr">
        <is>
          <t>B</t>
        </is>
      </c>
      <c r="P327" t="inlineStr">
        <is>
          <t>D</t>
        </is>
      </c>
      <c r="Q327" t="inlineStr">
        <is>
          <t>A</t>
        </is>
      </c>
      <c r="R327" t="inlineStr">
        <is>
          <t>F</t>
        </is>
      </c>
      <c r="S327" t="inlineStr">
        <is>
          <t>L</t>
        </is>
      </c>
      <c r="T327" t="inlineStr">
        <is>
          <t>K</t>
        </is>
      </c>
    </row>
    <row r="328">
      <c r="L328" t="n">
        <v>2923</v>
      </c>
      <c r="M328" t="inlineStr">
        <is>
          <t>F</t>
        </is>
      </c>
      <c r="N328" t="inlineStr">
        <is>
          <t>J</t>
        </is>
      </c>
      <c r="O328" t="inlineStr">
        <is>
          <t>B</t>
        </is>
      </c>
      <c r="P328" t="inlineStr">
        <is>
          <t>D</t>
        </is>
      </c>
      <c r="Q328" t="inlineStr">
        <is>
          <t>A</t>
        </is>
      </c>
      <c r="R328" t="inlineStr">
        <is>
          <t>G</t>
        </is>
      </c>
      <c r="S328" t="inlineStr">
        <is>
          <t>L</t>
        </is>
      </c>
      <c r="T328" t="inlineStr">
        <is>
          <t>I</t>
        </is>
      </c>
    </row>
    <row r="329">
      <c r="L329" t="n">
        <v>1899</v>
      </c>
      <c r="M329" t="inlineStr">
        <is>
          <t>F</t>
        </is>
      </c>
      <c r="N329" t="inlineStr">
        <is>
          <t>J</t>
        </is>
      </c>
      <c r="O329" t="inlineStr">
        <is>
          <t>B</t>
        </is>
      </c>
      <c r="P329" t="inlineStr">
        <is>
          <t>D</t>
        </is>
      </c>
      <c r="Q329" t="inlineStr">
        <is>
          <t>A</t>
        </is>
      </c>
      <c r="R329" t="inlineStr">
        <is>
          <t>G</t>
        </is>
      </c>
      <c r="S329" t="inlineStr">
        <is>
          <t>I</t>
        </is>
      </c>
      <c r="T329" t="inlineStr">
        <is>
          <t>K</t>
        </is>
      </c>
    </row>
    <row r="330">
      <c r="L330" t="n">
        <v>3307</v>
      </c>
      <c r="M330" t="inlineStr">
        <is>
          <t>H</t>
        </is>
      </c>
      <c r="N330" t="inlineStr">
        <is>
          <t>G</t>
        </is>
      </c>
      <c r="O330" t="inlineStr">
        <is>
          <t>B</t>
        </is>
      </c>
      <c r="P330" t="inlineStr">
        <is>
          <t>D</t>
        </is>
      </c>
      <c r="Q330" t="inlineStr">
        <is>
          <t>A</t>
        </is>
      </c>
      <c r="R330" t="inlineStr">
        <is>
          <t>F</t>
        </is>
      </c>
      <c r="S330" t="inlineStr">
        <is>
          <t>L</t>
        </is>
      </c>
      <c r="T330" t="inlineStr">
        <is>
          <t>K</t>
        </is>
      </c>
    </row>
    <row r="331">
      <c r="L331" t="n">
        <v>2795</v>
      </c>
      <c r="M331" t="inlineStr">
        <is>
          <t>H</t>
        </is>
      </c>
      <c r="N331" t="inlineStr">
        <is>
          <t>G</t>
        </is>
      </c>
      <c r="O331" t="inlineStr">
        <is>
          <t>B</t>
        </is>
      </c>
      <c r="P331" t="inlineStr">
        <is>
          <t>D</t>
        </is>
      </c>
      <c r="Q331" t="inlineStr">
        <is>
          <t>A</t>
        </is>
      </c>
      <c r="R331" t="inlineStr">
        <is>
          <t>F</t>
        </is>
      </c>
      <c r="S331" t="inlineStr">
        <is>
          <t>L</t>
        </is>
      </c>
      <c r="T331" t="inlineStr">
        <is>
          <t>J</t>
        </is>
      </c>
    </row>
    <row r="332">
      <c r="L332" t="n">
        <v>1771</v>
      </c>
      <c r="M332" t="inlineStr">
        <is>
          <t>H</t>
        </is>
      </c>
      <c r="N332" t="inlineStr">
        <is>
          <t>G</t>
        </is>
      </c>
      <c r="O332" t="inlineStr">
        <is>
          <t>B</t>
        </is>
      </c>
      <c r="P332" t="inlineStr">
        <is>
          <t>D</t>
        </is>
      </c>
      <c r="Q332" t="inlineStr">
        <is>
          <t>A</t>
        </is>
      </c>
      <c r="R332" t="inlineStr">
        <is>
          <t>F</t>
        </is>
      </c>
      <c r="S332" t="inlineStr">
        <is>
          <t>J</t>
        </is>
      </c>
      <c r="T332" t="inlineStr">
        <is>
          <t>K</t>
        </is>
      </c>
    </row>
    <row r="333">
      <c r="L333" t="n">
        <v>2539</v>
      </c>
      <c r="M333" t="inlineStr">
        <is>
          <t>H</t>
        </is>
      </c>
      <c r="N333" t="inlineStr">
        <is>
          <t>G</t>
        </is>
      </c>
      <c r="O333" t="inlineStr">
        <is>
          <t>B</t>
        </is>
      </c>
      <c r="P333" t="inlineStr">
        <is>
          <t>D</t>
        </is>
      </c>
      <c r="Q333" t="inlineStr">
        <is>
          <t>A</t>
        </is>
      </c>
      <c r="R333" t="inlineStr">
        <is>
          <t>F</t>
        </is>
      </c>
      <c r="S333" t="inlineStr">
        <is>
          <t>L</t>
        </is>
      </c>
      <c r="T333" t="inlineStr">
        <is>
          <t>I</t>
        </is>
      </c>
    </row>
    <row r="334">
      <c r="L334" t="n">
        <v>1515</v>
      </c>
      <c r="M334" t="inlineStr">
        <is>
          <t>H</t>
        </is>
      </c>
      <c r="N334" t="inlineStr">
        <is>
          <t>G</t>
        </is>
      </c>
      <c r="O334" t="inlineStr">
        <is>
          <t>B</t>
        </is>
      </c>
      <c r="P334" t="inlineStr">
        <is>
          <t>D</t>
        </is>
      </c>
      <c r="Q334" t="inlineStr">
        <is>
          <t>A</t>
        </is>
      </c>
      <c r="R334" t="inlineStr">
        <is>
          <t>F</t>
        </is>
      </c>
      <c r="S334" t="inlineStr">
        <is>
          <t>I</t>
        </is>
      </c>
      <c r="T334" t="inlineStr">
        <is>
          <t>K</t>
        </is>
      </c>
    </row>
    <row r="335">
      <c r="L335" t="n">
        <v>1003</v>
      </c>
      <c r="M335" t="inlineStr">
        <is>
          <t>H</t>
        </is>
      </c>
      <c r="N335" t="inlineStr">
        <is>
          <t>G</t>
        </is>
      </c>
      <c r="O335" t="inlineStr">
        <is>
          <t>B</t>
        </is>
      </c>
      <c r="P335" t="inlineStr">
        <is>
          <t>D</t>
        </is>
      </c>
      <c r="Q335" t="inlineStr">
        <is>
          <t>A</t>
        </is>
      </c>
      <c r="R335" t="inlineStr">
        <is>
          <t>F</t>
        </is>
      </c>
      <c r="S335" t="inlineStr">
        <is>
          <t>I</t>
        </is>
      </c>
      <c r="T335" t="inlineStr">
        <is>
          <t>J</t>
        </is>
      </c>
    </row>
    <row r="336">
      <c r="L336" t="n">
        <v>3867</v>
      </c>
      <c r="M336" t="inlineStr">
        <is>
          <t>E</t>
        </is>
      </c>
      <c r="N336" t="inlineStr">
        <is>
          <t>J</t>
        </is>
      </c>
      <c r="O336" t="inlineStr">
        <is>
          <t>B</t>
        </is>
      </c>
      <c r="P336" t="inlineStr">
        <is>
          <t>A</t>
        </is>
      </c>
      <c r="Q336" t="inlineStr">
        <is>
          <t>I</t>
        </is>
      </c>
      <c r="R336" t="inlineStr">
        <is>
          <t>D</t>
        </is>
      </c>
      <c r="S336" t="inlineStr">
        <is>
          <t>L</t>
        </is>
      </c>
      <c r="T336" t="inlineStr">
        <is>
          <t>K</t>
        </is>
      </c>
    </row>
    <row r="337">
      <c r="L337" t="n">
        <v>3739</v>
      </c>
      <c r="M337" t="inlineStr">
        <is>
          <t>E</t>
        </is>
      </c>
      <c r="N337" t="inlineStr">
        <is>
          <t>J</t>
        </is>
      </c>
      <c r="O337" t="inlineStr">
        <is>
          <t>B</t>
        </is>
      </c>
      <c r="P337" t="inlineStr">
        <is>
          <t>D</t>
        </is>
      </c>
      <c r="Q337" t="inlineStr">
        <is>
          <t>A</t>
        </is>
      </c>
      <c r="R337" t="inlineStr">
        <is>
          <t>H</t>
        </is>
      </c>
      <c r="S337" t="inlineStr">
        <is>
          <t>L</t>
        </is>
      </c>
      <c r="T337" t="inlineStr">
        <is>
          <t>K</t>
        </is>
      </c>
    </row>
    <row r="338">
      <c r="L338" t="n">
        <v>3483</v>
      </c>
      <c r="M338" t="inlineStr">
        <is>
          <t>E</t>
        </is>
      </c>
      <c r="N338" t="inlineStr">
        <is>
          <t>I</t>
        </is>
      </c>
      <c r="O338" t="inlineStr">
        <is>
          <t>B</t>
        </is>
      </c>
      <c r="P338" t="inlineStr">
        <is>
          <t>D</t>
        </is>
      </c>
      <c r="Q338" t="inlineStr">
        <is>
          <t>A</t>
        </is>
      </c>
      <c r="R338" t="inlineStr">
        <is>
          <t>H</t>
        </is>
      </c>
      <c r="S338" t="inlineStr">
        <is>
          <t>L</t>
        </is>
      </c>
      <c r="T338" t="inlineStr">
        <is>
          <t>K</t>
        </is>
      </c>
    </row>
    <row r="339">
      <c r="L339" t="n">
        <v>2971</v>
      </c>
      <c r="M339" t="inlineStr">
        <is>
          <t>E</t>
        </is>
      </c>
      <c r="N339" t="inlineStr">
        <is>
          <t>J</t>
        </is>
      </c>
      <c r="O339" t="inlineStr">
        <is>
          <t>B</t>
        </is>
      </c>
      <c r="P339" t="inlineStr">
        <is>
          <t>D</t>
        </is>
      </c>
      <c r="Q339" t="inlineStr">
        <is>
          <t>A</t>
        </is>
      </c>
      <c r="R339" t="inlineStr">
        <is>
          <t>H</t>
        </is>
      </c>
      <c r="S339" t="inlineStr">
        <is>
          <t>L</t>
        </is>
      </c>
      <c r="T339" t="inlineStr">
        <is>
          <t>I</t>
        </is>
      </c>
    </row>
    <row r="340">
      <c r="L340" t="n">
        <v>1947</v>
      </c>
      <c r="M340" t="inlineStr">
        <is>
          <t>E</t>
        </is>
      </c>
      <c r="N340" t="inlineStr">
        <is>
          <t>J</t>
        </is>
      </c>
      <c r="O340" t="inlineStr">
        <is>
          <t>B</t>
        </is>
      </c>
      <c r="P340" t="inlineStr">
        <is>
          <t>D</t>
        </is>
      </c>
      <c r="Q340" t="inlineStr">
        <is>
          <t>A</t>
        </is>
      </c>
      <c r="R340" t="inlineStr">
        <is>
          <t>H</t>
        </is>
      </c>
      <c r="S340" t="inlineStr">
        <is>
          <t>I</t>
        </is>
      </c>
      <c r="T340" t="inlineStr">
        <is>
          <t>K</t>
        </is>
      </c>
    </row>
    <row r="341">
      <c r="L341" t="n">
        <v>3675</v>
      </c>
      <c r="M341" t="inlineStr">
        <is>
          <t>E</t>
        </is>
      </c>
      <c r="N341" t="inlineStr">
        <is>
          <t>J</t>
        </is>
      </c>
      <c r="O341" t="inlineStr">
        <is>
          <t>B</t>
        </is>
      </c>
      <c r="P341" t="inlineStr">
        <is>
          <t>D</t>
        </is>
      </c>
      <c r="Q341" t="inlineStr">
        <is>
          <t>A</t>
        </is>
      </c>
      <c r="R341" t="inlineStr">
        <is>
          <t>G</t>
        </is>
      </c>
      <c r="S341" t="inlineStr">
        <is>
          <t>L</t>
        </is>
      </c>
      <c r="T341" t="inlineStr">
        <is>
          <t>K</t>
        </is>
      </c>
    </row>
    <row r="342">
      <c r="L342" t="n">
        <v>3419</v>
      </c>
      <c r="M342" t="inlineStr">
        <is>
          <t>E</t>
        </is>
      </c>
      <c r="N342" t="inlineStr">
        <is>
          <t>G</t>
        </is>
      </c>
      <c r="O342" t="inlineStr">
        <is>
          <t>B</t>
        </is>
      </c>
      <c r="P342" t="inlineStr">
        <is>
          <t>A</t>
        </is>
      </c>
      <c r="Q342" t="inlineStr">
        <is>
          <t>I</t>
        </is>
      </c>
      <c r="R342" t="inlineStr">
        <is>
          <t>D</t>
        </is>
      </c>
      <c r="S342" t="inlineStr">
        <is>
          <t>L</t>
        </is>
      </c>
      <c r="T342" t="inlineStr">
        <is>
          <t>K</t>
        </is>
      </c>
    </row>
    <row r="343">
      <c r="L343" t="n">
        <v>2907</v>
      </c>
      <c r="M343" t="inlineStr">
        <is>
          <t>E</t>
        </is>
      </c>
      <c r="N343" t="inlineStr">
        <is>
          <t>J</t>
        </is>
      </c>
      <c r="O343" t="inlineStr">
        <is>
          <t>B</t>
        </is>
      </c>
      <c r="P343" t="inlineStr">
        <is>
          <t>D</t>
        </is>
      </c>
      <c r="Q343" t="inlineStr">
        <is>
          <t>A</t>
        </is>
      </c>
      <c r="R343" t="inlineStr">
        <is>
          <t>G</t>
        </is>
      </c>
      <c r="S343" t="inlineStr">
        <is>
          <t>L</t>
        </is>
      </c>
      <c r="T343" t="inlineStr">
        <is>
          <t>I</t>
        </is>
      </c>
    </row>
    <row r="344">
      <c r="L344" t="n">
        <v>1883</v>
      </c>
      <c r="M344" t="inlineStr">
        <is>
          <t>E</t>
        </is>
      </c>
      <c r="N344" t="inlineStr">
        <is>
          <t>J</t>
        </is>
      </c>
      <c r="O344" t="inlineStr">
        <is>
          <t>B</t>
        </is>
      </c>
      <c r="P344" t="inlineStr">
        <is>
          <t>D</t>
        </is>
      </c>
      <c r="Q344" t="inlineStr">
        <is>
          <t>A</t>
        </is>
      </c>
      <c r="R344" t="inlineStr">
        <is>
          <t>G</t>
        </is>
      </c>
      <c r="S344" t="inlineStr">
        <is>
          <t>I</t>
        </is>
      </c>
      <c r="T344" t="inlineStr">
        <is>
          <t>K</t>
        </is>
      </c>
    </row>
    <row r="345">
      <c r="L345" t="n">
        <v>3291</v>
      </c>
      <c r="M345" t="inlineStr">
        <is>
          <t>E</t>
        </is>
      </c>
      <c r="N345" t="inlineStr">
        <is>
          <t>G</t>
        </is>
      </c>
      <c r="O345" t="inlineStr">
        <is>
          <t>B</t>
        </is>
      </c>
      <c r="P345" t="inlineStr">
        <is>
          <t>D</t>
        </is>
      </c>
      <c r="Q345" t="inlineStr">
        <is>
          <t>A</t>
        </is>
      </c>
      <c r="R345" t="inlineStr">
        <is>
          <t>H</t>
        </is>
      </c>
      <c r="S345" t="inlineStr">
        <is>
          <t>L</t>
        </is>
      </c>
      <c r="T345" t="inlineStr">
        <is>
          <t>K</t>
        </is>
      </c>
    </row>
    <row r="346">
      <c r="L346" t="n">
        <v>2779</v>
      </c>
      <c r="M346" t="inlineStr">
        <is>
          <t>H</t>
        </is>
      </c>
      <c r="N346" t="inlineStr">
        <is>
          <t>J</t>
        </is>
      </c>
      <c r="O346" t="inlineStr">
        <is>
          <t>B</t>
        </is>
      </c>
      <c r="P346" t="inlineStr">
        <is>
          <t>D</t>
        </is>
      </c>
      <c r="Q346" t="inlineStr">
        <is>
          <t>A</t>
        </is>
      </c>
      <c r="R346" t="inlineStr">
        <is>
          <t>G</t>
        </is>
      </c>
      <c r="S346" t="inlineStr">
        <is>
          <t>L</t>
        </is>
      </c>
      <c r="T346" t="inlineStr">
        <is>
          <t>E</t>
        </is>
      </c>
    </row>
    <row r="347">
      <c r="L347" t="n">
        <v>1755</v>
      </c>
      <c r="M347" t="inlineStr">
        <is>
          <t>H</t>
        </is>
      </c>
      <c r="N347" t="inlineStr">
        <is>
          <t>J</t>
        </is>
      </c>
      <c r="O347" t="inlineStr">
        <is>
          <t>B</t>
        </is>
      </c>
      <c r="P347" t="inlineStr">
        <is>
          <t>D</t>
        </is>
      </c>
      <c r="Q347" t="inlineStr">
        <is>
          <t>A</t>
        </is>
      </c>
      <c r="R347" t="inlineStr">
        <is>
          <t>G</t>
        </is>
      </c>
      <c r="S347" t="inlineStr">
        <is>
          <t>E</t>
        </is>
      </c>
      <c r="T347" t="inlineStr">
        <is>
          <t>K</t>
        </is>
      </c>
    </row>
    <row r="348">
      <c r="L348" t="n">
        <v>2523</v>
      </c>
      <c r="M348" t="inlineStr">
        <is>
          <t>E</t>
        </is>
      </c>
      <c r="N348" t="inlineStr">
        <is>
          <t>G</t>
        </is>
      </c>
      <c r="O348" t="inlineStr">
        <is>
          <t>B</t>
        </is>
      </c>
      <c r="P348" t="inlineStr">
        <is>
          <t>D</t>
        </is>
      </c>
      <c r="Q348" t="inlineStr">
        <is>
          <t>A</t>
        </is>
      </c>
      <c r="R348" t="inlineStr">
        <is>
          <t>H</t>
        </is>
      </c>
      <c r="S348" t="inlineStr">
        <is>
          <t>L</t>
        </is>
      </c>
      <c r="T348" t="inlineStr">
        <is>
          <t>I</t>
        </is>
      </c>
    </row>
    <row r="349">
      <c r="L349" t="n">
        <v>1499</v>
      </c>
      <c r="M349" t="inlineStr">
        <is>
          <t>E</t>
        </is>
      </c>
      <c r="N349" t="inlineStr">
        <is>
          <t>G</t>
        </is>
      </c>
      <c r="O349" t="inlineStr">
        <is>
          <t>B</t>
        </is>
      </c>
      <c r="P349" t="inlineStr">
        <is>
          <t>D</t>
        </is>
      </c>
      <c r="Q349" t="inlineStr">
        <is>
          <t>A</t>
        </is>
      </c>
      <c r="R349" t="inlineStr">
        <is>
          <t>H</t>
        </is>
      </c>
      <c r="S349" t="inlineStr">
        <is>
          <t>I</t>
        </is>
      </c>
      <c r="T349" t="inlineStr">
        <is>
          <t>K</t>
        </is>
      </c>
    </row>
    <row r="350">
      <c r="L350" t="n">
        <v>987</v>
      </c>
      <c r="M350" t="inlineStr">
        <is>
          <t>H</t>
        </is>
      </c>
      <c r="N350" t="inlineStr">
        <is>
          <t>J</t>
        </is>
      </c>
      <c r="O350" t="inlineStr">
        <is>
          <t>B</t>
        </is>
      </c>
      <c r="P350" t="inlineStr">
        <is>
          <t>D</t>
        </is>
      </c>
      <c r="Q350" t="inlineStr">
        <is>
          <t>A</t>
        </is>
      </c>
      <c r="R350" t="inlineStr">
        <is>
          <t>G</t>
        </is>
      </c>
      <c r="S350" t="inlineStr">
        <is>
          <t>E</t>
        </is>
      </c>
      <c r="T350" t="inlineStr">
        <is>
          <t>I</t>
        </is>
      </c>
    </row>
    <row r="351">
      <c r="L351" t="n">
        <v>3643</v>
      </c>
      <c r="M351" t="inlineStr">
        <is>
          <t>E</t>
        </is>
      </c>
      <c r="N351" t="inlineStr">
        <is>
          <t>J</t>
        </is>
      </c>
      <c r="O351" t="inlineStr">
        <is>
          <t>B</t>
        </is>
      </c>
      <c r="P351" t="inlineStr">
        <is>
          <t>D</t>
        </is>
      </c>
      <c r="Q351" t="inlineStr">
        <is>
          <t>A</t>
        </is>
      </c>
      <c r="R351" t="inlineStr">
        <is>
          <t>F</t>
        </is>
      </c>
      <c r="S351" t="inlineStr">
        <is>
          <t>L</t>
        </is>
      </c>
      <c r="T351" t="inlineStr">
        <is>
          <t>K</t>
        </is>
      </c>
    </row>
    <row r="352">
      <c r="L352" t="n">
        <v>3387</v>
      </c>
      <c r="M352" t="inlineStr">
        <is>
          <t>E</t>
        </is>
      </c>
      <c r="N352" t="inlineStr">
        <is>
          <t>I</t>
        </is>
      </c>
      <c r="O352" t="inlineStr">
        <is>
          <t>B</t>
        </is>
      </c>
      <c r="P352" t="inlineStr">
        <is>
          <t>D</t>
        </is>
      </c>
      <c r="Q352" t="inlineStr">
        <is>
          <t>A</t>
        </is>
      </c>
      <c r="R352" t="inlineStr">
        <is>
          <t>F</t>
        </is>
      </c>
      <c r="S352" t="inlineStr">
        <is>
          <t>L</t>
        </is>
      </c>
      <c r="T352" t="inlineStr">
        <is>
          <t>K</t>
        </is>
      </c>
    </row>
    <row r="353">
      <c r="L353" t="n">
        <v>2875</v>
      </c>
      <c r="M353" t="inlineStr">
        <is>
          <t>E</t>
        </is>
      </c>
      <c r="N353" t="inlineStr">
        <is>
          <t>J</t>
        </is>
      </c>
      <c r="O353" t="inlineStr">
        <is>
          <t>B</t>
        </is>
      </c>
      <c r="P353" t="inlineStr">
        <is>
          <t>D</t>
        </is>
      </c>
      <c r="Q353" t="inlineStr">
        <is>
          <t>A</t>
        </is>
      </c>
      <c r="R353" t="inlineStr">
        <is>
          <t>F</t>
        </is>
      </c>
      <c r="S353" t="inlineStr">
        <is>
          <t>L</t>
        </is>
      </c>
      <c r="T353" t="inlineStr">
        <is>
          <t>I</t>
        </is>
      </c>
    </row>
    <row r="354">
      <c r="L354" t="n">
        <v>1851</v>
      </c>
      <c r="M354" t="inlineStr">
        <is>
          <t>E</t>
        </is>
      </c>
      <c r="N354" t="inlineStr">
        <is>
          <t>J</t>
        </is>
      </c>
      <c r="O354" t="inlineStr">
        <is>
          <t>B</t>
        </is>
      </c>
      <c r="P354" t="inlineStr">
        <is>
          <t>D</t>
        </is>
      </c>
      <c r="Q354" t="inlineStr">
        <is>
          <t>A</t>
        </is>
      </c>
      <c r="R354" t="inlineStr">
        <is>
          <t>F</t>
        </is>
      </c>
      <c r="S354" t="inlineStr">
        <is>
          <t>I</t>
        </is>
      </c>
      <c r="T354" t="inlineStr">
        <is>
          <t>K</t>
        </is>
      </c>
    </row>
    <row r="355">
      <c r="L355" t="n">
        <v>3259</v>
      </c>
      <c r="M355" t="inlineStr">
        <is>
          <t>H</t>
        </is>
      </c>
      <c r="N355" t="inlineStr">
        <is>
          <t>E</t>
        </is>
      </c>
      <c r="O355" t="inlineStr">
        <is>
          <t>B</t>
        </is>
      </c>
      <c r="P355" t="inlineStr">
        <is>
          <t>D</t>
        </is>
      </c>
      <c r="Q355" t="inlineStr">
        <is>
          <t>A</t>
        </is>
      </c>
      <c r="R355" t="inlineStr">
        <is>
          <t>F</t>
        </is>
      </c>
      <c r="S355" t="inlineStr">
        <is>
          <t>L</t>
        </is>
      </c>
      <c r="T355" t="inlineStr">
        <is>
          <t>K</t>
        </is>
      </c>
    </row>
    <row r="356">
      <c r="L356" t="n">
        <v>2747</v>
      </c>
      <c r="M356" t="inlineStr">
        <is>
          <t>H</t>
        </is>
      </c>
      <c r="N356" t="inlineStr">
        <is>
          <t>J</t>
        </is>
      </c>
      <c r="O356" t="inlineStr">
        <is>
          <t>B</t>
        </is>
      </c>
      <c r="P356" t="inlineStr">
        <is>
          <t>D</t>
        </is>
      </c>
      <c r="Q356" t="inlineStr">
        <is>
          <t>A</t>
        </is>
      </c>
      <c r="R356" t="inlineStr">
        <is>
          <t>F</t>
        </is>
      </c>
      <c r="S356" t="inlineStr">
        <is>
          <t>L</t>
        </is>
      </c>
      <c r="T356" t="inlineStr">
        <is>
          <t>E</t>
        </is>
      </c>
    </row>
    <row r="357">
      <c r="L357" t="n">
        <v>1723</v>
      </c>
      <c r="M357" t="inlineStr">
        <is>
          <t>H</t>
        </is>
      </c>
      <c r="N357" t="inlineStr">
        <is>
          <t>J</t>
        </is>
      </c>
      <c r="O357" t="inlineStr">
        <is>
          <t>B</t>
        </is>
      </c>
      <c r="P357" t="inlineStr">
        <is>
          <t>D</t>
        </is>
      </c>
      <c r="Q357" t="inlineStr">
        <is>
          <t>A</t>
        </is>
      </c>
      <c r="R357" t="inlineStr">
        <is>
          <t>F</t>
        </is>
      </c>
      <c r="S357" t="inlineStr">
        <is>
          <t>E</t>
        </is>
      </c>
      <c r="T357" t="inlineStr">
        <is>
          <t>K</t>
        </is>
      </c>
    </row>
    <row r="358">
      <c r="L358" t="n">
        <v>2491</v>
      </c>
      <c r="M358" t="inlineStr">
        <is>
          <t>H</t>
        </is>
      </c>
      <c r="N358" t="inlineStr">
        <is>
          <t>E</t>
        </is>
      </c>
      <c r="O358" t="inlineStr">
        <is>
          <t>B</t>
        </is>
      </c>
      <c r="P358" t="inlineStr">
        <is>
          <t>D</t>
        </is>
      </c>
      <c r="Q358" t="inlineStr">
        <is>
          <t>A</t>
        </is>
      </c>
      <c r="R358" t="inlineStr">
        <is>
          <t>F</t>
        </is>
      </c>
      <c r="S358" t="inlineStr">
        <is>
          <t>L</t>
        </is>
      </c>
      <c r="T358" t="inlineStr">
        <is>
          <t>I</t>
        </is>
      </c>
    </row>
    <row r="359">
      <c r="L359" t="n">
        <v>1467</v>
      </c>
      <c r="M359" t="inlineStr">
        <is>
          <t>H</t>
        </is>
      </c>
      <c r="N359" t="inlineStr">
        <is>
          <t>E</t>
        </is>
      </c>
      <c r="O359" t="inlineStr">
        <is>
          <t>B</t>
        </is>
      </c>
      <c r="P359" t="inlineStr">
        <is>
          <t>D</t>
        </is>
      </c>
      <c r="Q359" t="inlineStr">
        <is>
          <t>A</t>
        </is>
      </c>
      <c r="R359" t="inlineStr">
        <is>
          <t>F</t>
        </is>
      </c>
      <c r="S359" t="inlineStr">
        <is>
          <t>I</t>
        </is>
      </c>
      <c r="T359" t="inlineStr">
        <is>
          <t>K</t>
        </is>
      </c>
    </row>
    <row r="360">
      <c r="L360" t="n">
        <v>955</v>
      </c>
      <c r="M360" t="inlineStr">
        <is>
          <t>H</t>
        </is>
      </c>
      <c r="N360" t="inlineStr">
        <is>
          <t>J</t>
        </is>
      </c>
      <c r="O360" t="inlineStr">
        <is>
          <t>B</t>
        </is>
      </c>
      <c r="P360" t="inlineStr">
        <is>
          <t>D</t>
        </is>
      </c>
      <c r="Q360" t="inlineStr">
        <is>
          <t>A</t>
        </is>
      </c>
      <c r="R360" t="inlineStr">
        <is>
          <t>F</t>
        </is>
      </c>
      <c r="S360" t="inlineStr">
        <is>
          <t>E</t>
        </is>
      </c>
      <c r="T360" t="inlineStr">
        <is>
          <t>I</t>
        </is>
      </c>
    </row>
    <row r="361">
      <c r="L361" t="n">
        <v>3195</v>
      </c>
      <c r="M361" t="inlineStr">
        <is>
          <t>E</t>
        </is>
      </c>
      <c r="N361" t="inlineStr">
        <is>
          <t>G</t>
        </is>
      </c>
      <c r="O361" t="inlineStr">
        <is>
          <t>B</t>
        </is>
      </c>
      <c r="P361" t="inlineStr">
        <is>
          <t>D</t>
        </is>
      </c>
      <c r="Q361" t="inlineStr">
        <is>
          <t>A</t>
        </is>
      </c>
      <c r="R361" t="inlineStr">
        <is>
          <t>F</t>
        </is>
      </c>
      <c r="S361" t="inlineStr">
        <is>
          <t>L</t>
        </is>
      </c>
      <c r="T361" t="inlineStr">
        <is>
          <t>K</t>
        </is>
      </c>
    </row>
    <row r="362">
      <c r="L362" t="n">
        <v>2683</v>
      </c>
      <c r="M362" t="inlineStr">
        <is>
          <t>E</t>
        </is>
      </c>
      <c r="N362" t="inlineStr">
        <is>
          <t>G</t>
        </is>
      </c>
      <c r="O362" t="inlineStr">
        <is>
          <t>B</t>
        </is>
      </c>
      <c r="P362" t="inlineStr">
        <is>
          <t>D</t>
        </is>
      </c>
      <c r="Q362" t="inlineStr">
        <is>
          <t>A</t>
        </is>
      </c>
      <c r="R362" t="inlineStr">
        <is>
          <t>F</t>
        </is>
      </c>
      <c r="S362" t="inlineStr">
        <is>
          <t>L</t>
        </is>
      </c>
      <c r="T362" t="inlineStr">
        <is>
          <t>J</t>
        </is>
      </c>
    </row>
    <row r="363">
      <c r="L363" t="n">
        <v>1659</v>
      </c>
      <c r="M363" t="inlineStr">
        <is>
          <t>E</t>
        </is>
      </c>
      <c r="N363" t="inlineStr">
        <is>
          <t>G</t>
        </is>
      </c>
      <c r="O363" t="inlineStr">
        <is>
          <t>B</t>
        </is>
      </c>
      <c r="P363" t="inlineStr">
        <is>
          <t>D</t>
        </is>
      </c>
      <c r="Q363" t="inlineStr">
        <is>
          <t>A</t>
        </is>
      </c>
      <c r="R363" t="inlineStr">
        <is>
          <t>F</t>
        </is>
      </c>
      <c r="S363" t="inlineStr">
        <is>
          <t>J</t>
        </is>
      </c>
      <c r="T363" t="inlineStr">
        <is>
          <t>K</t>
        </is>
      </c>
    </row>
    <row r="364">
      <c r="L364" t="n">
        <v>2427</v>
      </c>
      <c r="M364" t="inlineStr">
        <is>
          <t>E</t>
        </is>
      </c>
      <c r="N364" t="inlineStr">
        <is>
          <t>G</t>
        </is>
      </c>
      <c r="O364" t="inlineStr">
        <is>
          <t>B</t>
        </is>
      </c>
      <c r="P364" t="inlineStr">
        <is>
          <t>D</t>
        </is>
      </c>
      <c r="Q364" t="inlineStr">
        <is>
          <t>A</t>
        </is>
      </c>
      <c r="R364" t="inlineStr">
        <is>
          <t>F</t>
        </is>
      </c>
      <c r="S364" t="inlineStr">
        <is>
          <t>L</t>
        </is>
      </c>
      <c r="T364" t="inlineStr">
        <is>
          <t>I</t>
        </is>
      </c>
    </row>
    <row r="365">
      <c r="L365" t="n">
        <v>1403</v>
      </c>
      <c r="M365" t="inlineStr">
        <is>
          <t>E</t>
        </is>
      </c>
      <c r="N365" t="inlineStr">
        <is>
          <t>G</t>
        </is>
      </c>
      <c r="O365" t="inlineStr">
        <is>
          <t>B</t>
        </is>
      </c>
      <c r="P365" t="inlineStr">
        <is>
          <t>D</t>
        </is>
      </c>
      <c r="Q365" t="inlineStr">
        <is>
          <t>A</t>
        </is>
      </c>
      <c r="R365" t="inlineStr">
        <is>
          <t>F</t>
        </is>
      </c>
      <c r="S365" t="inlineStr">
        <is>
          <t>I</t>
        </is>
      </c>
      <c r="T365" t="inlineStr">
        <is>
          <t>K</t>
        </is>
      </c>
    </row>
    <row r="366">
      <c r="L366" t="n">
        <v>891</v>
      </c>
      <c r="M366" t="inlineStr">
        <is>
          <t>E</t>
        </is>
      </c>
      <c r="N366" t="inlineStr">
        <is>
          <t>G</t>
        </is>
      </c>
      <c r="O366" t="inlineStr">
        <is>
          <t>B</t>
        </is>
      </c>
      <c r="P366" t="inlineStr">
        <is>
          <t>D</t>
        </is>
      </c>
      <c r="Q366" t="inlineStr">
        <is>
          <t>A</t>
        </is>
      </c>
      <c r="R366" t="inlineStr">
        <is>
          <t>F</t>
        </is>
      </c>
      <c r="S366" t="inlineStr">
        <is>
          <t>I</t>
        </is>
      </c>
      <c r="T366" t="inlineStr">
        <is>
          <t>J</t>
        </is>
      </c>
    </row>
    <row r="367">
      <c r="L367" t="n">
        <v>2299</v>
      </c>
      <c r="M367" t="inlineStr">
        <is>
          <t>H</t>
        </is>
      </c>
      <c r="N367" t="inlineStr">
        <is>
          <t>G</t>
        </is>
      </c>
      <c r="O367" t="inlineStr">
        <is>
          <t>B</t>
        </is>
      </c>
      <c r="P367" t="inlineStr">
        <is>
          <t>D</t>
        </is>
      </c>
      <c r="Q367" t="inlineStr">
        <is>
          <t>A</t>
        </is>
      </c>
      <c r="R367" t="inlineStr">
        <is>
          <t>F</t>
        </is>
      </c>
      <c r="S367" t="inlineStr">
        <is>
          <t>L</t>
        </is>
      </c>
      <c r="T367" t="inlineStr">
        <is>
          <t>E</t>
        </is>
      </c>
    </row>
    <row r="368">
      <c r="L368" t="n">
        <v>1275</v>
      </c>
      <c r="M368" t="inlineStr">
        <is>
          <t>H</t>
        </is>
      </c>
      <c r="N368" t="inlineStr">
        <is>
          <t>G</t>
        </is>
      </c>
      <c r="O368" t="inlineStr">
        <is>
          <t>B</t>
        </is>
      </c>
      <c r="P368" t="inlineStr">
        <is>
          <t>D</t>
        </is>
      </c>
      <c r="Q368" t="inlineStr">
        <is>
          <t>A</t>
        </is>
      </c>
      <c r="R368" t="inlineStr">
        <is>
          <t>F</t>
        </is>
      </c>
      <c r="S368" t="inlineStr">
        <is>
          <t>E</t>
        </is>
      </c>
      <c r="T368" t="inlineStr">
        <is>
          <t>K</t>
        </is>
      </c>
    </row>
    <row r="369">
      <c r="L369" t="n">
        <v>763</v>
      </c>
      <c r="M369" t="inlineStr">
        <is>
          <t>H</t>
        </is>
      </c>
      <c r="N369" t="inlineStr">
        <is>
          <t>G</t>
        </is>
      </c>
      <c r="O369" t="inlineStr">
        <is>
          <t>B</t>
        </is>
      </c>
      <c r="P369" t="inlineStr">
        <is>
          <t>D</t>
        </is>
      </c>
      <c r="Q369" t="inlineStr">
        <is>
          <t>A</t>
        </is>
      </c>
      <c r="R369" t="inlineStr">
        <is>
          <t>F</t>
        </is>
      </c>
      <c r="S369" t="inlineStr">
        <is>
          <t>E</t>
        </is>
      </c>
      <c r="T369" t="inlineStr">
        <is>
          <t>J</t>
        </is>
      </c>
    </row>
    <row r="370">
      <c r="L370" t="n">
        <v>507</v>
      </c>
      <c r="M370" t="inlineStr">
        <is>
          <t>H</t>
        </is>
      </c>
      <c r="N370" t="inlineStr">
        <is>
          <t>G</t>
        </is>
      </c>
      <c r="O370" t="inlineStr">
        <is>
          <t>B</t>
        </is>
      </c>
      <c r="P370" t="inlineStr">
        <is>
          <t>D</t>
        </is>
      </c>
      <c r="Q370" t="inlineStr">
        <is>
          <t>A</t>
        </is>
      </c>
      <c r="R370" t="inlineStr">
        <is>
          <t>F</t>
        </is>
      </c>
      <c r="S370" t="inlineStr">
        <is>
          <t>E</t>
        </is>
      </c>
      <c r="T370" t="inlineStr">
        <is>
          <t>I</t>
        </is>
      </c>
    </row>
    <row r="371">
      <c r="L371" t="n">
        <v>3975</v>
      </c>
      <c r="M371" t="inlineStr">
        <is>
          <t>I</t>
        </is>
      </c>
      <c r="N371" t="inlineStr">
        <is>
          <t>J</t>
        </is>
      </c>
      <c r="O371" t="inlineStr">
        <is>
          <t>B</t>
        </is>
      </c>
      <c r="P371" t="inlineStr">
        <is>
          <t>C</t>
        </is>
      </c>
      <c r="Q371" t="inlineStr">
        <is>
          <t>A</t>
        </is>
      </c>
      <c r="R371" t="inlineStr">
        <is>
          <t>H</t>
        </is>
      </c>
      <c r="S371" t="inlineStr">
        <is>
          <t>L</t>
        </is>
      </c>
      <c r="T371" t="inlineStr">
        <is>
          <t>K</t>
        </is>
      </c>
    </row>
    <row r="372">
      <c r="L372" t="n">
        <v>3911</v>
      </c>
      <c r="M372" t="inlineStr">
        <is>
          <t>I</t>
        </is>
      </c>
      <c r="N372" t="inlineStr">
        <is>
          <t>J</t>
        </is>
      </c>
      <c r="O372" t="inlineStr">
        <is>
          <t>B</t>
        </is>
      </c>
      <c r="P372" t="inlineStr">
        <is>
          <t>C</t>
        </is>
      </c>
      <c r="Q372" t="inlineStr">
        <is>
          <t>A</t>
        </is>
      </c>
      <c r="R372" t="inlineStr">
        <is>
          <t>G</t>
        </is>
      </c>
      <c r="S372" t="inlineStr">
        <is>
          <t>L</t>
        </is>
      </c>
      <c r="T372" t="inlineStr">
        <is>
          <t>K</t>
        </is>
      </c>
    </row>
    <row r="373">
      <c r="L373" t="n">
        <v>3783</v>
      </c>
      <c r="M373" t="inlineStr">
        <is>
          <t>H</t>
        </is>
      </c>
      <c r="N373" t="inlineStr">
        <is>
          <t>J</t>
        </is>
      </c>
      <c r="O373" t="inlineStr">
        <is>
          <t>B</t>
        </is>
      </c>
      <c r="P373" t="inlineStr">
        <is>
          <t>C</t>
        </is>
      </c>
      <c r="Q373" t="inlineStr">
        <is>
          <t>A</t>
        </is>
      </c>
      <c r="R373" t="inlineStr">
        <is>
          <t>G</t>
        </is>
      </c>
      <c r="S373" t="inlineStr">
        <is>
          <t>L</t>
        </is>
      </c>
      <c r="T373" t="inlineStr">
        <is>
          <t>K</t>
        </is>
      </c>
    </row>
    <row r="374">
      <c r="L374" t="n">
        <v>3527</v>
      </c>
      <c r="M374" t="inlineStr">
        <is>
          <t>I</t>
        </is>
      </c>
      <c r="N374" t="inlineStr">
        <is>
          <t>G</t>
        </is>
      </c>
      <c r="O374" t="inlineStr">
        <is>
          <t>B</t>
        </is>
      </c>
      <c r="P374" t="inlineStr">
        <is>
          <t>C</t>
        </is>
      </c>
      <c r="Q374" t="inlineStr">
        <is>
          <t>A</t>
        </is>
      </c>
      <c r="R374" t="inlineStr">
        <is>
          <t>H</t>
        </is>
      </c>
      <c r="S374" t="inlineStr">
        <is>
          <t>L</t>
        </is>
      </c>
      <c r="T374" t="inlineStr">
        <is>
          <t>K</t>
        </is>
      </c>
    </row>
    <row r="375">
      <c r="L375" t="n">
        <v>3015</v>
      </c>
      <c r="M375" t="inlineStr">
        <is>
          <t>H</t>
        </is>
      </c>
      <c r="N375" t="inlineStr">
        <is>
          <t>J</t>
        </is>
      </c>
      <c r="O375" t="inlineStr">
        <is>
          <t>B</t>
        </is>
      </c>
      <c r="P375" t="inlineStr">
        <is>
          <t>C</t>
        </is>
      </c>
      <c r="Q375" t="inlineStr">
        <is>
          <t>A</t>
        </is>
      </c>
      <c r="R375" t="inlineStr">
        <is>
          <t>G</t>
        </is>
      </c>
      <c r="S375" t="inlineStr">
        <is>
          <t>L</t>
        </is>
      </c>
      <c r="T375" t="inlineStr">
        <is>
          <t>I</t>
        </is>
      </c>
    </row>
    <row r="376">
      <c r="L376" t="n">
        <v>1991</v>
      </c>
      <c r="M376" t="inlineStr">
        <is>
          <t>H</t>
        </is>
      </c>
      <c r="N376" t="inlineStr">
        <is>
          <t>J</t>
        </is>
      </c>
      <c r="O376" t="inlineStr">
        <is>
          <t>B</t>
        </is>
      </c>
      <c r="P376" t="inlineStr">
        <is>
          <t>C</t>
        </is>
      </c>
      <c r="Q376" t="inlineStr">
        <is>
          <t>A</t>
        </is>
      </c>
      <c r="R376" t="inlineStr">
        <is>
          <t>G</t>
        </is>
      </c>
      <c r="S376" t="inlineStr">
        <is>
          <t>I</t>
        </is>
      </c>
      <c r="T376" t="inlineStr">
        <is>
          <t>K</t>
        </is>
      </c>
    </row>
    <row r="377">
      <c r="L377" t="n">
        <v>3879</v>
      </c>
      <c r="M377" t="inlineStr">
        <is>
          <t>I</t>
        </is>
      </c>
      <c r="N377" t="inlineStr">
        <is>
          <t>J</t>
        </is>
      </c>
      <c r="O377" t="inlineStr">
        <is>
          <t>B</t>
        </is>
      </c>
      <c r="P377" t="inlineStr">
        <is>
          <t>C</t>
        </is>
      </c>
      <c r="Q377" t="inlineStr">
        <is>
          <t>A</t>
        </is>
      </c>
      <c r="R377" t="inlineStr">
        <is>
          <t>F</t>
        </is>
      </c>
      <c r="S377" t="inlineStr">
        <is>
          <t>L</t>
        </is>
      </c>
      <c r="T377" t="inlineStr">
        <is>
          <t>K</t>
        </is>
      </c>
    </row>
    <row r="378">
      <c r="L378" t="n">
        <v>3751</v>
      </c>
      <c r="M378" t="inlineStr">
        <is>
          <t>H</t>
        </is>
      </c>
      <c r="N378" t="inlineStr">
        <is>
          <t>J</t>
        </is>
      </c>
      <c r="O378" t="inlineStr">
        <is>
          <t>B</t>
        </is>
      </c>
      <c r="P378" t="inlineStr">
        <is>
          <t>C</t>
        </is>
      </c>
      <c r="Q378" t="inlineStr">
        <is>
          <t>A</t>
        </is>
      </c>
      <c r="R378" t="inlineStr">
        <is>
          <t>F</t>
        </is>
      </c>
      <c r="S378" t="inlineStr">
        <is>
          <t>L</t>
        </is>
      </c>
      <c r="T378" t="inlineStr">
        <is>
          <t>K</t>
        </is>
      </c>
    </row>
    <row r="379">
      <c r="L379" t="n">
        <v>3495</v>
      </c>
      <c r="M379" t="inlineStr">
        <is>
          <t>H</t>
        </is>
      </c>
      <c r="N379" t="inlineStr">
        <is>
          <t>I</t>
        </is>
      </c>
      <c r="O379" t="inlineStr">
        <is>
          <t>B</t>
        </is>
      </c>
      <c r="P379" t="inlineStr">
        <is>
          <t>C</t>
        </is>
      </c>
      <c r="Q379" t="inlineStr">
        <is>
          <t>A</t>
        </is>
      </c>
      <c r="R379" t="inlineStr">
        <is>
          <t>F</t>
        </is>
      </c>
      <c r="S379" t="inlineStr">
        <is>
          <t>L</t>
        </is>
      </c>
      <c r="T379" t="inlineStr">
        <is>
          <t>K</t>
        </is>
      </c>
    </row>
    <row r="380">
      <c r="L380" t="n">
        <v>2983</v>
      </c>
      <c r="M380" t="inlineStr">
        <is>
          <t>H</t>
        </is>
      </c>
      <c r="N380" t="inlineStr">
        <is>
          <t>J</t>
        </is>
      </c>
      <c r="O380" t="inlineStr">
        <is>
          <t>B</t>
        </is>
      </c>
      <c r="P380" t="inlineStr">
        <is>
          <t>C</t>
        </is>
      </c>
      <c r="Q380" t="inlineStr">
        <is>
          <t>A</t>
        </is>
      </c>
      <c r="R380" t="inlineStr">
        <is>
          <t>F</t>
        </is>
      </c>
      <c r="S380" t="inlineStr">
        <is>
          <t>L</t>
        </is>
      </c>
      <c r="T380" t="inlineStr">
        <is>
          <t>I</t>
        </is>
      </c>
    </row>
    <row r="381">
      <c r="L381" t="n">
        <v>1959</v>
      </c>
      <c r="M381" t="inlineStr">
        <is>
          <t>H</t>
        </is>
      </c>
      <c r="N381" t="inlineStr">
        <is>
          <t>J</t>
        </is>
      </c>
      <c r="O381" t="inlineStr">
        <is>
          <t>B</t>
        </is>
      </c>
      <c r="P381" t="inlineStr">
        <is>
          <t>C</t>
        </is>
      </c>
      <c r="Q381" t="inlineStr">
        <is>
          <t>A</t>
        </is>
      </c>
      <c r="R381" t="inlineStr">
        <is>
          <t>F</t>
        </is>
      </c>
      <c r="S381" t="inlineStr">
        <is>
          <t>I</t>
        </is>
      </c>
      <c r="T381" t="inlineStr">
        <is>
          <t>K</t>
        </is>
      </c>
    </row>
    <row r="382">
      <c r="L382" t="n">
        <v>3687</v>
      </c>
      <c r="M382" t="inlineStr">
        <is>
          <t>C</t>
        </is>
      </c>
      <c r="N382" t="inlineStr">
        <is>
          <t>J</t>
        </is>
      </c>
      <c r="O382" t="inlineStr">
        <is>
          <t>B</t>
        </is>
      </c>
      <c r="P382" t="inlineStr">
        <is>
          <t>F</t>
        </is>
      </c>
      <c r="Q382" t="inlineStr">
        <is>
          <t>A</t>
        </is>
      </c>
      <c r="R382" t="inlineStr">
        <is>
          <t>G</t>
        </is>
      </c>
      <c r="S382" t="inlineStr">
        <is>
          <t>L</t>
        </is>
      </c>
      <c r="T382" t="inlineStr">
        <is>
          <t>K</t>
        </is>
      </c>
    </row>
    <row r="383">
      <c r="L383" t="n">
        <v>3431</v>
      </c>
      <c r="M383" t="inlineStr">
        <is>
          <t>I</t>
        </is>
      </c>
      <c r="N383" t="inlineStr">
        <is>
          <t>G</t>
        </is>
      </c>
      <c r="O383" t="inlineStr">
        <is>
          <t>B</t>
        </is>
      </c>
      <c r="P383" t="inlineStr">
        <is>
          <t>C</t>
        </is>
      </c>
      <c r="Q383" t="inlineStr">
        <is>
          <t>A</t>
        </is>
      </c>
      <c r="R383" t="inlineStr">
        <is>
          <t>F</t>
        </is>
      </c>
      <c r="S383" t="inlineStr">
        <is>
          <t>L</t>
        </is>
      </c>
      <c r="T383" t="inlineStr">
        <is>
          <t>K</t>
        </is>
      </c>
    </row>
    <row r="384">
      <c r="L384" t="n">
        <v>2919</v>
      </c>
      <c r="M384" t="inlineStr">
        <is>
          <t>C</t>
        </is>
      </c>
      <c r="N384" t="inlineStr">
        <is>
          <t>J</t>
        </is>
      </c>
      <c r="O384" t="inlineStr">
        <is>
          <t>B</t>
        </is>
      </c>
      <c r="P384" t="inlineStr">
        <is>
          <t>F</t>
        </is>
      </c>
      <c r="Q384" t="inlineStr">
        <is>
          <t>A</t>
        </is>
      </c>
      <c r="R384" t="inlineStr">
        <is>
          <t>G</t>
        </is>
      </c>
      <c r="S384" t="inlineStr">
        <is>
          <t>L</t>
        </is>
      </c>
      <c r="T384" t="inlineStr">
        <is>
          <t>I</t>
        </is>
      </c>
    </row>
    <row r="385">
      <c r="L385" t="n">
        <v>1895</v>
      </c>
      <c r="M385" t="inlineStr">
        <is>
          <t>C</t>
        </is>
      </c>
      <c r="N385" t="inlineStr">
        <is>
          <t>J</t>
        </is>
      </c>
      <c r="O385" t="inlineStr">
        <is>
          <t>B</t>
        </is>
      </c>
      <c r="P385" t="inlineStr">
        <is>
          <t>F</t>
        </is>
      </c>
      <c r="Q385" t="inlineStr">
        <is>
          <t>A</t>
        </is>
      </c>
      <c r="R385" t="inlineStr">
        <is>
          <t>G</t>
        </is>
      </c>
      <c r="S385" t="inlineStr">
        <is>
          <t>I</t>
        </is>
      </c>
      <c r="T385" t="inlineStr">
        <is>
          <t>K</t>
        </is>
      </c>
    </row>
    <row r="386">
      <c r="L386" t="n">
        <v>3303</v>
      </c>
      <c r="M386" t="inlineStr">
        <is>
          <t>H</t>
        </is>
      </c>
      <c r="N386" t="inlineStr">
        <is>
          <t>G</t>
        </is>
      </c>
      <c r="O386" t="inlineStr">
        <is>
          <t>B</t>
        </is>
      </c>
      <c r="P386" t="inlineStr">
        <is>
          <t>C</t>
        </is>
      </c>
      <c r="Q386" t="inlineStr">
        <is>
          <t>A</t>
        </is>
      </c>
      <c r="R386" t="inlineStr">
        <is>
          <t>F</t>
        </is>
      </c>
      <c r="S386" t="inlineStr">
        <is>
          <t>L</t>
        </is>
      </c>
      <c r="T386" t="inlineStr">
        <is>
          <t>K</t>
        </is>
      </c>
    </row>
    <row r="387">
      <c r="L387" t="n">
        <v>2791</v>
      </c>
      <c r="M387" t="inlineStr">
        <is>
          <t>H</t>
        </is>
      </c>
      <c r="N387" t="inlineStr">
        <is>
          <t>G</t>
        </is>
      </c>
      <c r="O387" t="inlineStr">
        <is>
          <t>B</t>
        </is>
      </c>
      <c r="P387" t="inlineStr">
        <is>
          <t>C</t>
        </is>
      </c>
      <c r="Q387" t="inlineStr">
        <is>
          <t>A</t>
        </is>
      </c>
      <c r="R387" t="inlineStr">
        <is>
          <t>F</t>
        </is>
      </c>
      <c r="S387" t="inlineStr">
        <is>
          <t>L</t>
        </is>
      </c>
      <c r="T387" t="inlineStr">
        <is>
          <t>J</t>
        </is>
      </c>
    </row>
    <row r="388">
      <c r="L388" t="n">
        <v>1767</v>
      </c>
      <c r="M388" t="inlineStr">
        <is>
          <t>H</t>
        </is>
      </c>
      <c r="N388" t="inlineStr">
        <is>
          <t>G</t>
        </is>
      </c>
      <c r="O388" t="inlineStr">
        <is>
          <t>B</t>
        </is>
      </c>
      <c r="P388" t="inlineStr">
        <is>
          <t>C</t>
        </is>
      </c>
      <c r="Q388" t="inlineStr">
        <is>
          <t>A</t>
        </is>
      </c>
      <c r="R388" t="inlineStr">
        <is>
          <t>F</t>
        </is>
      </c>
      <c r="S388" t="inlineStr">
        <is>
          <t>J</t>
        </is>
      </c>
      <c r="T388" t="inlineStr">
        <is>
          <t>K</t>
        </is>
      </c>
    </row>
    <row r="389">
      <c r="L389" t="n">
        <v>2535</v>
      </c>
      <c r="M389" t="inlineStr">
        <is>
          <t>H</t>
        </is>
      </c>
      <c r="N389" t="inlineStr">
        <is>
          <t>G</t>
        </is>
      </c>
      <c r="O389" t="inlineStr">
        <is>
          <t>B</t>
        </is>
      </c>
      <c r="P389" t="inlineStr">
        <is>
          <t>C</t>
        </is>
      </c>
      <c r="Q389" t="inlineStr">
        <is>
          <t>A</t>
        </is>
      </c>
      <c r="R389" t="inlineStr">
        <is>
          <t>F</t>
        </is>
      </c>
      <c r="S389" t="inlineStr">
        <is>
          <t>L</t>
        </is>
      </c>
      <c r="T389" t="inlineStr">
        <is>
          <t>I</t>
        </is>
      </c>
    </row>
    <row r="390">
      <c r="L390" t="n">
        <v>1511</v>
      </c>
      <c r="M390" t="inlineStr">
        <is>
          <t>H</t>
        </is>
      </c>
      <c r="N390" t="inlineStr">
        <is>
          <t>G</t>
        </is>
      </c>
      <c r="O390" t="inlineStr">
        <is>
          <t>B</t>
        </is>
      </c>
      <c r="P390" t="inlineStr">
        <is>
          <t>C</t>
        </is>
      </c>
      <c r="Q390" t="inlineStr">
        <is>
          <t>A</t>
        </is>
      </c>
      <c r="R390" t="inlineStr">
        <is>
          <t>F</t>
        </is>
      </c>
      <c r="S390" t="inlineStr">
        <is>
          <t>I</t>
        </is>
      </c>
      <c r="T390" t="inlineStr">
        <is>
          <t>K</t>
        </is>
      </c>
    </row>
    <row r="391">
      <c r="L391" t="n">
        <v>999</v>
      </c>
      <c r="M391" t="inlineStr">
        <is>
          <t>H</t>
        </is>
      </c>
      <c r="N391" t="inlineStr">
        <is>
          <t>G</t>
        </is>
      </c>
      <c r="O391" t="inlineStr">
        <is>
          <t>B</t>
        </is>
      </c>
      <c r="P391" t="inlineStr">
        <is>
          <t>C</t>
        </is>
      </c>
      <c r="Q391" t="inlineStr">
        <is>
          <t>A</t>
        </is>
      </c>
      <c r="R391" t="inlineStr">
        <is>
          <t>F</t>
        </is>
      </c>
      <c r="S391" t="inlineStr">
        <is>
          <t>I</t>
        </is>
      </c>
      <c r="T391" t="inlineStr">
        <is>
          <t>J</t>
        </is>
      </c>
    </row>
    <row r="392">
      <c r="L392" t="n">
        <v>3863</v>
      </c>
      <c r="M392" t="inlineStr">
        <is>
          <t>E</t>
        </is>
      </c>
      <c r="N392" t="inlineStr">
        <is>
          <t>J</t>
        </is>
      </c>
      <c r="O392" t="inlineStr">
        <is>
          <t>B</t>
        </is>
      </c>
      <c r="P392" t="inlineStr">
        <is>
          <t>A</t>
        </is>
      </c>
      <c r="Q392" t="inlineStr">
        <is>
          <t>I</t>
        </is>
      </c>
      <c r="R392" t="inlineStr">
        <is>
          <t>C</t>
        </is>
      </c>
      <c r="S392" t="inlineStr">
        <is>
          <t>L</t>
        </is>
      </c>
      <c r="T392" t="inlineStr">
        <is>
          <t>K</t>
        </is>
      </c>
    </row>
    <row r="393">
      <c r="L393" t="n">
        <v>3735</v>
      </c>
      <c r="M393" t="inlineStr">
        <is>
          <t>E</t>
        </is>
      </c>
      <c r="N393" t="inlineStr">
        <is>
          <t>J</t>
        </is>
      </c>
      <c r="O393" t="inlineStr">
        <is>
          <t>B</t>
        </is>
      </c>
      <c r="P393" t="inlineStr">
        <is>
          <t>C</t>
        </is>
      </c>
      <c r="Q393" t="inlineStr">
        <is>
          <t>A</t>
        </is>
      </c>
      <c r="R393" t="inlineStr">
        <is>
          <t>H</t>
        </is>
      </c>
      <c r="S393" t="inlineStr">
        <is>
          <t>L</t>
        </is>
      </c>
      <c r="T393" t="inlineStr">
        <is>
          <t>K</t>
        </is>
      </c>
    </row>
    <row r="394">
      <c r="L394" t="n">
        <v>3479</v>
      </c>
      <c r="M394" t="inlineStr">
        <is>
          <t>E</t>
        </is>
      </c>
      <c r="N394" t="inlineStr">
        <is>
          <t>I</t>
        </is>
      </c>
      <c r="O394" t="inlineStr">
        <is>
          <t>B</t>
        </is>
      </c>
      <c r="P394" t="inlineStr">
        <is>
          <t>C</t>
        </is>
      </c>
      <c r="Q394" t="inlineStr">
        <is>
          <t>A</t>
        </is>
      </c>
      <c r="R394" t="inlineStr">
        <is>
          <t>H</t>
        </is>
      </c>
      <c r="S394" t="inlineStr">
        <is>
          <t>L</t>
        </is>
      </c>
      <c r="T394" t="inlineStr">
        <is>
          <t>K</t>
        </is>
      </c>
    </row>
    <row r="395">
      <c r="L395" t="n">
        <v>2967</v>
      </c>
      <c r="M395" t="inlineStr">
        <is>
          <t>E</t>
        </is>
      </c>
      <c r="N395" t="inlineStr">
        <is>
          <t>J</t>
        </is>
      </c>
      <c r="O395" t="inlineStr">
        <is>
          <t>B</t>
        </is>
      </c>
      <c r="P395" t="inlineStr">
        <is>
          <t>C</t>
        </is>
      </c>
      <c r="Q395" t="inlineStr">
        <is>
          <t>A</t>
        </is>
      </c>
      <c r="R395" t="inlineStr">
        <is>
          <t>H</t>
        </is>
      </c>
      <c r="S395" t="inlineStr">
        <is>
          <t>L</t>
        </is>
      </c>
      <c r="T395" t="inlineStr">
        <is>
          <t>I</t>
        </is>
      </c>
    </row>
    <row r="396">
      <c r="L396" t="n">
        <v>1943</v>
      </c>
      <c r="M396" t="inlineStr">
        <is>
          <t>E</t>
        </is>
      </c>
      <c r="N396" t="inlineStr">
        <is>
          <t>J</t>
        </is>
      </c>
      <c r="O396" t="inlineStr">
        <is>
          <t>B</t>
        </is>
      </c>
      <c r="P396" t="inlineStr">
        <is>
          <t>C</t>
        </is>
      </c>
      <c r="Q396" t="inlineStr">
        <is>
          <t>A</t>
        </is>
      </c>
      <c r="R396" t="inlineStr">
        <is>
          <t>H</t>
        </is>
      </c>
      <c r="S396" t="inlineStr">
        <is>
          <t>I</t>
        </is>
      </c>
      <c r="T396" t="inlineStr">
        <is>
          <t>K</t>
        </is>
      </c>
    </row>
    <row r="397">
      <c r="L397" t="n">
        <v>3671</v>
      </c>
      <c r="M397" t="inlineStr">
        <is>
          <t>E</t>
        </is>
      </c>
      <c r="N397" t="inlineStr">
        <is>
          <t>J</t>
        </is>
      </c>
      <c r="O397" t="inlineStr">
        <is>
          <t>B</t>
        </is>
      </c>
      <c r="P397" t="inlineStr">
        <is>
          <t>C</t>
        </is>
      </c>
      <c r="Q397" t="inlineStr">
        <is>
          <t>A</t>
        </is>
      </c>
      <c r="R397" t="inlineStr">
        <is>
          <t>G</t>
        </is>
      </c>
      <c r="S397" t="inlineStr">
        <is>
          <t>L</t>
        </is>
      </c>
      <c r="T397" t="inlineStr">
        <is>
          <t>K</t>
        </is>
      </c>
    </row>
    <row r="398">
      <c r="L398" t="n">
        <v>3415</v>
      </c>
      <c r="M398" t="inlineStr">
        <is>
          <t>E</t>
        </is>
      </c>
      <c r="N398" t="inlineStr">
        <is>
          <t>G</t>
        </is>
      </c>
      <c r="O398" t="inlineStr">
        <is>
          <t>B</t>
        </is>
      </c>
      <c r="P398" t="inlineStr">
        <is>
          <t>A</t>
        </is>
      </c>
      <c r="Q398" t="inlineStr">
        <is>
          <t>I</t>
        </is>
      </c>
      <c r="R398" t="inlineStr">
        <is>
          <t>C</t>
        </is>
      </c>
      <c r="S398" t="inlineStr">
        <is>
          <t>L</t>
        </is>
      </c>
      <c r="T398" t="inlineStr">
        <is>
          <t>K</t>
        </is>
      </c>
    </row>
    <row r="399">
      <c r="L399" t="n">
        <v>2903</v>
      </c>
      <c r="M399" t="inlineStr">
        <is>
          <t>E</t>
        </is>
      </c>
      <c r="N399" t="inlineStr">
        <is>
          <t>J</t>
        </is>
      </c>
      <c r="O399" t="inlineStr">
        <is>
          <t>B</t>
        </is>
      </c>
      <c r="P399" t="inlineStr">
        <is>
          <t>C</t>
        </is>
      </c>
      <c r="Q399" t="inlineStr">
        <is>
          <t>A</t>
        </is>
      </c>
      <c r="R399" t="inlineStr">
        <is>
          <t>G</t>
        </is>
      </c>
      <c r="S399" t="inlineStr">
        <is>
          <t>L</t>
        </is>
      </c>
      <c r="T399" t="inlineStr">
        <is>
          <t>I</t>
        </is>
      </c>
    </row>
    <row r="400">
      <c r="L400" t="n">
        <v>1879</v>
      </c>
      <c r="M400" t="inlineStr">
        <is>
          <t>E</t>
        </is>
      </c>
      <c r="N400" t="inlineStr">
        <is>
          <t>J</t>
        </is>
      </c>
      <c r="O400" t="inlineStr">
        <is>
          <t>B</t>
        </is>
      </c>
      <c r="P400" t="inlineStr">
        <is>
          <t>C</t>
        </is>
      </c>
      <c r="Q400" t="inlineStr">
        <is>
          <t>A</t>
        </is>
      </c>
      <c r="R400" t="inlineStr">
        <is>
          <t>G</t>
        </is>
      </c>
      <c r="S400" t="inlineStr">
        <is>
          <t>I</t>
        </is>
      </c>
      <c r="T400" t="inlineStr">
        <is>
          <t>K</t>
        </is>
      </c>
    </row>
    <row r="401">
      <c r="L401" t="n">
        <v>3287</v>
      </c>
      <c r="M401" t="inlineStr">
        <is>
          <t>E</t>
        </is>
      </c>
      <c r="N401" t="inlineStr">
        <is>
          <t>G</t>
        </is>
      </c>
      <c r="O401" t="inlineStr">
        <is>
          <t>B</t>
        </is>
      </c>
      <c r="P401" t="inlineStr">
        <is>
          <t>C</t>
        </is>
      </c>
      <c r="Q401" t="inlineStr">
        <is>
          <t>A</t>
        </is>
      </c>
      <c r="R401" t="inlineStr">
        <is>
          <t>H</t>
        </is>
      </c>
      <c r="S401" t="inlineStr">
        <is>
          <t>L</t>
        </is>
      </c>
      <c r="T401" t="inlineStr">
        <is>
          <t>K</t>
        </is>
      </c>
    </row>
    <row r="402">
      <c r="L402" t="n">
        <v>2775</v>
      </c>
      <c r="M402" t="inlineStr">
        <is>
          <t>H</t>
        </is>
      </c>
      <c r="N402" t="inlineStr">
        <is>
          <t>J</t>
        </is>
      </c>
      <c r="O402" t="inlineStr">
        <is>
          <t>B</t>
        </is>
      </c>
      <c r="P402" t="inlineStr">
        <is>
          <t>C</t>
        </is>
      </c>
      <c r="Q402" t="inlineStr">
        <is>
          <t>A</t>
        </is>
      </c>
      <c r="R402" t="inlineStr">
        <is>
          <t>G</t>
        </is>
      </c>
      <c r="S402" t="inlineStr">
        <is>
          <t>L</t>
        </is>
      </c>
      <c r="T402" t="inlineStr">
        <is>
          <t>E</t>
        </is>
      </c>
    </row>
    <row r="403">
      <c r="L403" t="n">
        <v>1751</v>
      </c>
      <c r="M403" t="inlineStr">
        <is>
          <t>H</t>
        </is>
      </c>
      <c r="N403" t="inlineStr">
        <is>
          <t>J</t>
        </is>
      </c>
      <c r="O403" t="inlineStr">
        <is>
          <t>B</t>
        </is>
      </c>
      <c r="P403" t="inlineStr">
        <is>
          <t>C</t>
        </is>
      </c>
      <c r="Q403" t="inlineStr">
        <is>
          <t>A</t>
        </is>
      </c>
      <c r="R403" t="inlineStr">
        <is>
          <t>G</t>
        </is>
      </c>
      <c r="S403" t="inlineStr">
        <is>
          <t>E</t>
        </is>
      </c>
      <c r="T403" t="inlineStr">
        <is>
          <t>K</t>
        </is>
      </c>
    </row>
    <row r="404">
      <c r="L404" t="n">
        <v>2519</v>
      </c>
      <c r="M404" t="inlineStr">
        <is>
          <t>E</t>
        </is>
      </c>
      <c r="N404" t="inlineStr">
        <is>
          <t>G</t>
        </is>
      </c>
      <c r="O404" t="inlineStr">
        <is>
          <t>B</t>
        </is>
      </c>
      <c r="P404" t="inlineStr">
        <is>
          <t>C</t>
        </is>
      </c>
      <c r="Q404" t="inlineStr">
        <is>
          <t>A</t>
        </is>
      </c>
      <c r="R404" t="inlineStr">
        <is>
          <t>H</t>
        </is>
      </c>
      <c r="S404" t="inlineStr">
        <is>
          <t>L</t>
        </is>
      </c>
      <c r="T404" t="inlineStr">
        <is>
          <t>I</t>
        </is>
      </c>
    </row>
    <row r="405">
      <c r="L405" t="n">
        <v>1495</v>
      </c>
      <c r="M405" t="inlineStr">
        <is>
          <t>E</t>
        </is>
      </c>
      <c r="N405" t="inlineStr">
        <is>
          <t>G</t>
        </is>
      </c>
      <c r="O405" t="inlineStr">
        <is>
          <t>B</t>
        </is>
      </c>
      <c r="P405" t="inlineStr">
        <is>
          <t>C</t>
        </is>
      </c>
      <c r="Q405" t="inlineStr">
        <is>
          <t>A</t>
        </is>
      </c>
      <c r="R405" t="inlineStr">
        <is>
          <t>H</t>
        </is>
      </c>
      <c r="S405" t="inlineStr">
        <is>
          <t>I</t>
        </is>
      </c>
      <c r="T405" t="inlineStr">
        <is>
          <t>K</t>
        </is>
      </c>
    </row>
    <row r="406">
      <c r="L406" t="n">
        <v>983</v>
      </c>
      <c r="M406" t="inlineStr">
        <is>
          <t>H</t>
        </is>
      </c>
      <c r="N406" t="inlineStr">
        <is>
          <t>J</t>
        </is>
      </c>
      <c r="O406" t="inlineStr">
        <is>
          <t>B</t>
        </is>
      </c>
      <c r="P406" t="inlineStr">
        <is>
          <t>C</t>
        </is>
      </c>
      <c r="Q406" t="inlineStr">
        <is>
          <t>A</t>
        </is>
      </c>
      <c r="R406" t="inlineStr">
        <is>
          <t>G</t>
        </is>
      </c>
      <c r="S406" t="inlineStr">
        <is>
          <t>E</t>
        </is>
      </c>
      <c r="T406" t="inlineStr">
        <is>
          <t>I</t>
        </is>
      </c>
    </row>
    <row r="407">
      <c r="L407" t="n">
        <v>3639</v>
      </c>
      <c r="M407" t="inlineStr">
        <is>
          <t>E</t>
        </is>
      </c>
      <c r="N407" t="inlineStr">
        <is>
          <t>J</t>
        </is>
      </c>
      <c r="O407" t="inlineStr">
        <is>
          <t>B</t>
        </is>
      </c>
      <c r="P407" t="inlineStr">
        <is>
          <t>C</t>
        </is>
      </c>
      <c r="Q407" t="inlineStr">
        <is>
          <t>A</t>
        </is>
      </c>
      <c r="R407" t="inlineStr">
        <is>
          <t>F</t>
        </is>
      </c>
      <c r="S407" t="inlineStr">
        <is>
          <t>L</t>
        </is>
      </c>
      <c r="T407" t="inlineStr">
        <is>
          <t>K</t>
        </is>
      </c>
    </row>
    <row r="408">
      <c r="L408" t="n">
        <v>3383</v>
      </c>
      <c r="M408" t="inlineStr">
        <is>
          <t>E</t>
        </is>
      </c>
      <c r="N408" t="inlineStr">
        <is>
          <t>I</t>
        </is>
      </c>
      <c r="O408" t="inlineStr">
        <is>
          <t>B</t>
        </is>
      </c>
      <c r="P408" t="inlineStr">
        <is>
          <t>C</t>
        </is>
      </c>
      <c r="Q408" t="inlineStr">
        <is>
          <t>A</t>
        </is>
      </c>
      <c r="R408" t="inlineStr">
        <is>
          <t>F</t>
        </is>
      </c>
      <c r="S408" t="inlineStr">
        <is>
          <t>L</t>
        </is>
      </c>
      <c r="T408" t="inlineStr">
        <is>
          <t>K</t>
        </is>
      </c>
    </row>
    <row r="409">
      <c r="L409" t="n">
        <v>2871</v>
      </c>
      <c r="M409" t="inlineStr">
        <is>
          <t>E</t>
        </is>
      </c>
      <c r="N409" t="inlineStr">
        <is>
          <t>J</t>
        </is>
      </c>
      <c r="O409" t="inlineStr">
        <is>
          <t>B</t>
        </is>
      </c>
      <c r="P409" t="inlineStr">
        <is>
          <t>C</t>
        </is>
      </c>
      <c r="Q409" t="inlineStr">
        <is>
          <t>A</t>
        </is>
      </c>
      <c r="R409" t="inlineStr">
        <is>
          <t>F</t>
        </is>
      </c>
      <c r="S409" t="inlineStr">
        <is>
          <t>L</t>
        </is>
      </c>
      <c r="T409" t="inlineStr">
        <is>
          <t>I</t>
        </is>
      </c>
    </row>
    <row r="410">
      <c r="L410" t="n">
        <v>1847</v>
      </c>
      <c r="M410" t="inlineStr">
        <is>
          <t>E</t>
        </is>
      </c>
      <c r="N410" t="inlineStr">
        <is>
          <t>J</t>
        </is>
      </c>
      <c r="O410" t="inlineStr">
        <is>
          <t>B</t>
        </is>
      </c>
      <c r="P410" t="inlineStr">
        <is>
          <t>C</t>
        </is>
      </c>
      <c r="Q410" t="inlineStr">
        <is>
          <t>A</t>
        </is>
      </c>
      <c r="R410" t="inlineStr">
        <is>
          <t>F</t>
        </is>
      </c>
      <c r="S410" t="inlineStr">
        <is>
          <t>I</t>
        </is>
      </c>
      <c r="T410" t="inlineStr">
        <is>
          <t>K</t>
        </is>
      </c>
    </row>
    <row r="411">
      <c r="L411" t="n">
        <v>3255</v>
      </c>
      <c r="M411" t="inlineStr">
        <is>
          <t>H</t>
        </is>
      </c>
      <c r="N411" t="inlineStr">
        <is>
          <t>E</t>
        </is>
      </c>
      <c r="O411" t="inlineStr">
        <is>
          <t>B</t>
        </is>
      </c>
      <c r="P411" t="inlineStr">
        <is>
          <t>C</t>
        </is>
      </c>
      <c r="Q411" t="inlineStr">
        <is>
          <t>A</t>
        </is>
      </c>
      <c r="R411" t="inlineStr">
        <is>
          <t>F</t>
        </is>
      </c>
      <c r="S411" t="inlineStr">
        <is>
          <t>L</t>
        </is>
      </c>
      <c r="T411" t="inlineStr">
        <is>
          <t>K</t>
        </is>
      </c>
    </row>
    <row r="412">
      <c r="L412" t="n">
        <v>2743</v>
      </c>
      <c r="M412" t="inlineStr">
        <is>
          <t>H</t>
        </is>
      </c>
      <c r="N412" t="inlineStr">
        <is>
          <t>J</t>
        </is>
      </c>
      <c r="O412" t="inlineStr">
        <is>
          <t>B</t>
        </is>
      </c>
      <c r="P412" t="inlineStr">
        <is>
          <t>C</t>
        </is>
      </c>
      <c r="Q412" t="inlineStr">
        <is>
          <t>A</t>
        </is>
      </c>
      <c r="R412" t="inlineStr">
        <is>
          <t>F</t>
        </is>
      </c>
      <c r="S412" t="inlineStr">
        <is>
          <t>L</t>
        </is>
      </c>
      <c r="T412" t="inlineStr">
        <is>
          <t>E</t>
        </is>
      </c>
    </row>
    <row r="413">
      <c r="L413" t="n">
        <v>1719</v>
      </c>
      <c r="M413" t="inlineStr">
        <is>
          <t>H</t>
        </is>
      </c>
      <c r="N413" t="inlineStr">
        <is>
          <t>J</t>
        </is>
      </c>
      <c r="O413" t="inlineStr">
        <is>
          <t>B</t>
        </is>
      </c>
      <c r="P413" t="inlineStr">
        <is>
          <t>C</t>
        </is>
      </c>
      <c r="Q413" t="inlineStr">
        <is>
          <t>A</t>
        </is>
      </c>
      <c r="R413" t="inlineStr">
        <is>
          <t>F</t>
        </is>
      </c>
      <c r="S413" t="inlineStr">
        <is>
          <t>E</t>
        </is>
      </c>
      <c r="T413" t="inlineStr">
        <is>
          <t>K</t>
        </is>
      </c>
    </row>
    <row r="414">
      <c r="L414" t="n">
        <v>2487</v>
      </c>
      <c r="M414" t="inlineStr">
        <is>
          <t>H</t>
        </is>
      </c>
      <c r="N414" t="inlineStr">
        <is>
          <t>E</t>
        </is>
      </c>
      <c r="O414" t="inlineStr">
        <is>
          <t>B</t>
        </is>
      </c>
      <c r="P414" t="inlineStr">
        <is>
          <t>C</t>
        </is>
      </c>
      <c r="Q414" t="inlineStr">
        <is>
          <t>A</t>
        </is>
      </c>
      <c r="R414" t="inlineStr">
        <is>
          <t>F</t>
        </is>
      </c>
      <c r="S414" t="inlineStr">
        <is>
          <t>L</t>
        </is>
      </c>
      <c r="T414" t="inlineStr">
        <is>
          <t>I</t>
        </is>
      </c>
    </row>
    <row r="415">
      <c r="L415" t="n">
        <v>1463</v>
      </c>
      <c r="M415" t="inlineStr">
        <is>
          <t>H</t>
        </is>
      </c>
      <c r="N415" t="inlineStr">
        <is>
          <t>E</t>
        </is>
      </c>
      <c r="O415" t="inlineStr">
        <is>
          <t>B</t>
        </is>
      </c>
      <c r="P415" t="inlineStr">
        <is>
          <t>C</t>
        </is>
      </c>
      <c r="Q415" t="inlineStr">
        <is>
          <t>A</t>
        </is>
      </c>
      <c r="R415" t="inlineStr">
        <is>
          <t>F</t>
        </is>
      </c>
      <c r="S415" t="inlineStr">
        <is>
          <t>I</t>
        </is>
      </c>
      <c r="T415" t="inlineStr">
        <is>
          <t>K</t>
        </is>
      </c>
    </row>
    <row r="416">
      <c r="L416" t="n">
        <v>951</v>
      </c>
      <c r="M416" t="inlineStr">
        <is>
          <t>H</t>
        </is>
      </c>
      <c r="N416" t="inlineStr">
        <is>
          <t>J</t>
        </is>
      </c>
      <c r="O416" t="inlineStr">
        <is>
          <t>B</t>
        </is>
      </c>
      <c r="P416" t="inlineStr">
        <is>
          <t>C</t>
        </is>
      </c>
      <c r="Q416" t="inlineStr">
        <is>
          <t>A</t>
        </is>
      </c>
      <c r="R416" t="inlineStr">
        <is>
          <t>F</t>
        </is>
      </c>
      <c r="S416" t="inlineStr">
        <is>
          <t>E</t>
        </is>
      </c>
      <c r="T416" t="inlineStr">
        <is>
          <t>I</t>
        </is>
      </c>
    </row>
    <row r="417">
      <c r="L417" t="n">
        <v>3191</v>
      </c>
      <c r="M417" t="inlineStr">
        <is>
          <t>E</t>
        </is>
      </c>
      <c r="N417" t="inlineStr">
        <is>
          <t>G</t>
        </is>
      </c>
      <c r="O417" t="inlineStr">
        <is>
          <t>B</t>
        </is>
      </c>
      <c r="P417" t="inlineStr">
        <is>
          <t>C</t>
        </is>
      </c>
      <c r="Q417" t="inlineStr">
        <is>
          <t>A</t>
        </is>
      </c>
      <c r="R417" t="inlineStr">
        <is>
          <t>F</t>
        </is>
      </c>
      <c r="S417" t="inlineStr">
        <is>
          <t>L</t>
        </is>
      </c>
      <c r="T417" t="inlineStr">
        <is>
          <t>K</t>
        </is>
      </c>
    </row>
    <row r="418">
      <c r="L418" t="n">
        <v>2679</v>
      </c>
      <c r="M418" t="inlineStr">
        <is>
          <t>E</t>
        </is>
      </c>
      <c r="N418" t="inlineStr">
        <is>
          <t>G</t>
        </is>
      </c>
      <c r="O418" t="inlineStr">
        <is>
          <t>B</t>
        </is>
      </c>
      <c r="P418" t="inlineStr">
        <is>
          <t>C</t>
        </is>
      </c>
      <c r="Q418" t="inlineStr">
        <is>
          <t>A</t>
        </is>
      </c>
      <c r="R418" t="inlineStr">
        <is>
          <t>F</t>
        </is>
      </c>
      <c r="S418" t="inlineStr">
        <is>
          <t>L</t>
        </is>
      </c>
      <c r="T418" t="inlineStr">
        <is>
          <t>J</t>
        </is>
      </c>
    </row>
    <row r="419">
      <c r="L419" t="n">
        <v>1655</v>
      </c>
      <c r="M419" t="inlineStr">
        <is>
          <t>E</t>
        </is>
      </c>
      <c r="N419" t="inlineStr">
        <is>
          <t>G</t>
        </is>
      </c>
      <c r="O419" t="inlineStr">
        <is>
          <t>B</t>
        </is>
      </c>
      <c r="P419" t="inlineStr">
        <is>
          <t>C</t>
        </is>
      </c>
      <c r="Q419" t="inlineStr">
        <is>
          <t>A</t>
        </is>
      </c>
      <c r="R419" t="inlineStr">
        <is>
          <t>F</t>
        </is>
      </c>
      <c r="S419" t="inlineStr">
        <is>
          <t>J</t>
        </is>
      </c>
      <c r="T419" t="inlineStr">
        <is>
          <t>K</t>
        </is>
      </c>
    </row>
    <row r="420">
      <c r="L420" t="n">
        <v>2423</v>
      </c>
      <c r="M420" t="inlineStr">
        <is>
          <t>E</t>
        </is>
      </c>
      <c r="N420" t="inlineStr">
        <is>
          <t>G</t>
        </is>
      </c>
      <c r="O420" t="inlineStr">
        <is>
          <t>B</t>
        </is>
      </c>
      <c r="P420" t="inlineStr">
        <is>
          <t>C</t>
        </is>
      </c>
      <c r="Q420" t="inlineStr">
        <is>
          <t>A</t>
        </is>
      </c>
      <c r="R420" t="inlineStr">
        <is>
          <t>F</t>
        </is>
      </c>
      <c r="S420" t="inlineStr">
        <is>
          <t>L</t>
        </is>
      </c>
      <c r="T420" t="inlineStr">
        <is>
          <t>I</t>
        </is>
      </c>
    </row>
    <row r="421">
      <c r="L421" t="n">
        <v>1399</v>
      </c>
      <c r="M421" t="inlineStr">
        <is>
          <t>E</t>
        </is>
      </c>
      <c r="N421" t="inlineStr">
        <is>
          <t>G</t>
        </is>
      </c>
      <c r="O421" t="inlineStr">
        <is>
          <t>B</t>
        </is>
      </c>
      <c r="P421" t="inlineStr">
        <is>
          <t>C</t>
        </is>
      </c>
      <c r="Q421" t="inlineStr">
        <is>
          <t>A</t>
        </is>
      </c>
      <c r="R421" t="inlineStr">
        <is>
          <t>F</t>
        </is>
      </c>
      <c r="S421" t="inlineStr">
        <is>
          <t>I</t>
        </is>
      </c>
      <c r="T421" t="inlineStr">
        <is>
          <t>K</t>
        </is>
      </c>
    </row>
    <row r="422">
      <c r="L422" t="n">
        <v>887</v>
      </c>
      <c r="M422" t="inlineStr">
        <is>
          <t>E</t>
        </is>
      </c>
      <c r="N422" t="inlineStr">
        <is>
          <t>G</t>
        </is>
      </c>
      <c r="O422" t="inlineStr">
        <is>
          <t>B</t>
        </is>
      </c>
      <c r="P422" t="inlineStr">
        <is>
          <t>C</t>
        </is>
      </c>
      <c r="Q422" t="inlineStr">
        <is>
          <t>A</t>
        </is>
      </c>
      <c r="R422" t="inlineStr">
        <is>
          <t>F</t>
        </is>
      </c>
      <c r="S422" t="inlineStr">
        <is>
          <t>I</t>
        </is>
      </c>
      <c r="T422" t="inlineStr">
        <is>
          <t>J</t>
        </is>
      </c>
    </row>
    <row r="423">
      <c r="L423" t="n">
        <v>2295</v>
      </c>
      <c r="M423" t="inlineStr">
        <is>
          <t>H</t>
        </is>
      </c>
      <c r="N423" t="inlineStr">
        <is>
          <t>G</t>
        </is>
      </c>
      <c r="O423" t="inlineStr">
        <is>
          <t>B</t>
        </is>
      </c>
      <c r="P423" t="inlineStr">
        <is>
          <t>C</t>
        </is>
      </c>
      <c r="Q423" t="inlineStr">
        <is>
          <t>A</t>
        </is>
      </c>
      <c r="R423" t="inlineStr">
        <is>
          <t>F</t>
        </is>
      </c>
      <c r="S423" t="inlineStr">
        <is>
          <t>L</t>
        </is>
      </c>
      <c r="T423" t="inlineStr">
        <is>
          <t>E</t>
        </is>
      </c>
    </row>
    <row r="424">
      <c r="L424" t="n">
        <v>1271</v>
      </c>
      <c r="M424" t="inlineStr">
        <is>
          <t>H</t>
        </is>
      </c>
      <c r="N424" t="inlineStr">
        <is>
          <t>G</t>
        </is>
      </c>
      <c r="O424" t="inlineStr">
        <is>
          <t>B</t>
        </is>
      </c>
      <c r="P424" t="inlineStr">
        <is>
          <t>C</t>
        </is>
      </c>
      <c r="Q424" t="inlineStr">
        <is>
          <t>A</t>
        </is>
      </c>
      <c r="R424" t="inlineStr">
        <is>
          <t>F</t>
        </is>
      </c>
      <c r="S424" t="inlineStr">
        <is>
          <t>E</t>
        </is>
      </c>
      <c r="T424" t="inlineStr">
        <is>
          <t>K</t>
        </is>
      </c>
    </row>
    <row r="425">
      <c r="L425" t="n">
        <v>759</v>
      </c>
      <c r="M425" t="inlineStr">
        <is>
          <t>H</t>
        </is>
      </c>
      <c r="N425" t="inlineStr">
        <is>
          <t>G</t>
        </is>
      </c>
      <c r="O425" t="inlineStr">
        <is>
          <t>B</t>
        </is>
      </c>
      <c r="P425" t="inlineStr">
        <is>
          <t>C</t>
        </is>
      </c>
      <c r="Q425" t="inlineStr">
        <is>
          <t>A</t>
        </is>
      </c>
      <c r="R425" t="inlineStr">
        <is>
          <t>F</t>
        </is>
      </c>
      <c r="S425" t="inlineStr">
        <is>
          <t>E</t>
        </is>
      </c>
      <c r="T425" t="inlineStr">
        <is>
          <t>J</t>
        </is>
      </c>
    </row>
    <row r="426">
      <c r="L426" t="n">
        <v>503</v>
      </c>
      <c r="M426" t="inlineStr">
        <is>
          <t>H</t>
        </is>
      </c>
      <c r="N426" t="inlineStr">
        <is>
          <t>G</t>
        </is>
      </c>
      <c r="O426" t="inlineStr">
        <is>
          <t>B</t>
        </is>
      </c>
      <c r="P426" t="inlineStr">
        <is>
          <t>C</t>
        </is>
      </c>
      <c r="Q426" t="inlineStr">
        <is>
          <t>A</t>
        </is>
      </c>
      <c r="R426" t="inlineStr">
        <is>
          <t>F</t>
        </is>
      </c>
      <c r="S426" t="inlineStr">
        <is>
          <t>E</t>
        </is>
      </c>
      <c r="T426" t="inlineStr">
        <is>
          <t>I</t>
        </is>
      </c>
    </row>
    <row r="427">
      <c r="L427" t="n">
        <v>3855</v>
      </c>
      <c r="M427" t="inlineStr">
        <is>
          <t>I</t>
        </is>
      </c>
      <c r="N427" t="inlineStr">
        <is>
          <t>J</t>
        </is>
      </c>
      <c r="O427" t="inlineStr">
        <is>
          <t>B</t>
        </is>
      </c>
      <c r="P427" t="inlineStr">
        <is>
          <t>C</t>
        </is>
      </c>
      <c r="Q427" t="inlineStr">
        <is>
          <t>A</t>
        </is>
      </c>
      <c r="R427" t="inlineStr">
        <is>
          <t>D</t>
        </is>
      </c>
      <c r="S427" t="inlineStr">
        <is>
          <t>L</t>
        </is>
      </c>
      <c r="T427" t="inlineStr">
        <is>
          <t>K</t>
        </is>
      </c>
    </row>
    <row r="428">
      <c r="L428" t="n">
        <v>3727</v>
      </c>
      <c r="M428" t="inlineStr">
        <is>
          <t>H</t>
        </is>
      </c>
      <c r="N428" t="inlineStr">
        <is>
          <t>J</t>
        </is>
      </c>
      <c r="O428" t="inlineStr">
        <is>
          <t>B</t>
        </is>
      </c>
      <c r="P428" t="inlineStr">
        <is>
          <t>C</t>
        </is>
      </c>
      <c r="Q428" t="inlineStr">
        <is>
          <t>A</t>
        </is>
      </c>
      <c r="R428" t="inlineStr">
        <is>
          <t>D</t>
        </is>
      </c>
      <c r="S428" t="inlineStr">
        <is>
          <t>L</t>
        </is>
      </c>
      <c r="T428" t="inlineStr">
        <is>
          <t>K</t>
        </is>
      </c>
    </row>
    <row r="429">
      <c r="L429" t="n">
        <v>3471</v>
      </c>
      <c r="M429" t="inlineStr">
        <is>
          <t>H</t>
        </is>
      </c>
      <c r="N429" t="inlineStr">
        <is>
          <t>I</t>
        </is>
      </c>
      <c r="O429" t="inlineStr">
        <is>
          <t>B</t>
        </is>
      </c>
      <c r="P429" t="inlineStr">
        <is>
          <t>C</t>
        </is>
      </c>
      <c r="Q429" t="inlineStr">
        <is>
          <t>A</t>
        </is>
      </c>
      <c r="R429" t="inlineStr">
        <is>
          <t>D</t>
        </is>
      </c>
      <c r="S429" t="inlineStr">
        <is>
          <t>L</t>
        </is>
      </c>
      <c r="T429" t="inlineStr">
        <is>
          <t>K</t>
        </is>
      </c>
    </row>
    <row r="430">
      <c r="L430" t="n">
        <v>2959</v>
      </c>
      <c r="M430" t="inlineStr">
        <is>
          <t>H</t>
        </is>
      </c>
      <c r="N430" t="inlineStr">
        <is>
          <t>J</t>
        </is>
      </c>
      <c r="O430" t="inlineStr">
        <is>
          <t>B</t>
        </is>
      </c>
      <c r="P430" t="inlineStr">
        <is>
          <t>C</t>
        </is>
      </c>
      <c r="Q430" t="inlineStr">
        <is>
          <t>A</t>
        </is>
      </c>
      <c r="R430" t="inlineStr">
        <is>
          <t>D</t>
        </is>
      </c>
      <c r="S430" t="inlineStr">
        <is>
          <t>L</t>
        </is>
      </c>
      <c r="T430" t="inlineStr">
        <is>
          <t>I</t>
        </is>
      </c>
    </row>
    <row r="431">
      <c r="L431" t="n">
        <v>1935</v>
      </c>
      <c r="M431" t="inlineStr">
        <is>
          <t>H</t>
        </is>
      </c>
      <c r="N431" t="inlineStr">
        <is>
          <t>J</t>
        </is>
      </c>
      <c r="O431" t="inlineStr">
        <is>
          <t>B</t>
        </is>
      </c>
      <c r="P431" t="inlineStr">
        <is>
          <t>C</t>
        </is>
      </c>
      <c r="Q431" t="inlineStr">
        <is>
          <t>A</t>
        </is>
      </c>
      <c r="R431" t="inlineStr">
        <is>
          <t>D</t>
        </is>
      </c>
      <c r="S431" t="inlineStr">
        <is>
          <t>I</t>
        </is>
      </c>
      <c r="T431" t="inlineStr">
        <is>
          <t>K</t>
        </is>
      </c>
    </row>
    <row r="432">
      <c r="L432" t="n">
        <v>3663</v>
      </c>
      <c r="M432" t="inlineStr">
        <is>
          <t>C</t>
        </is>
      </c>
      <c r="N432" t="inlineStr">
        <is>
          <t>J</t>
        </is>
      </c>
      <c r="O432" t="inlineStr">
        <is>
          <t>B</t>
        </is>
      </c>
      <c r="P432" t="inlineStr">
        <is>
          <t>D</t>
        </is>
      </c>
      <c r="Q432" t="inlineStr">
        <is>
          <t>A</t>
        </is>
      </c>
      <c r="R432" t="inlineStr">
        <is>
          <t>G</t>
        </is>
      </c>
      <c r="S432" t="inlineStr">
        <is>
          <t>L</t>
        </is>
      </c>
      <c r="T432" t="inlineStr">
        <is>
          <t>K</t>
        </is>
      </c>
    </row>
    <row r="433">
      <c r="L433" t="n">
        <v>3407</v>
      </c>
      <c r="M433" t="inlineStr">
        <is>
          <t>I</t>
        </is>
      </c>
      <c r="N433" t="inlineStr">
        <is>
          <t>G</t>
        </is>
      </c>
      <c r="O433" t="inlineStr">
        <is>
          <t>B</t>
        </is>
      </c>
      <c r="P433" t="inlineStr">
        <is>
          <t>C</t>
        </is>
      </c>
      <c r="Q433" t="inlineStr">
        <is>
          <t>A</t>
        </is>
      </c>
      <c r="R433" t="inlineStr">
        <is>
          <t>D</t>
        </is>
      </c>
      <c r="S433" t="inlineStr">
        <is>
          <t>L</t>
        </is>
      </c>
      <c r="T433" t="inlineStr">
        <is>
          <t>K</t>
        </is>
      </c>
    </row>
    <row r="434">
      <c r="L434" t="n">
        <v>2895</v>
      </c>
      <c r="M434" t="inlineStr">
        <is>
          <t>C</t>
        </is>
      </c>
      <c r="N434" t="inlineStr">
        <is>
          <t>J</t>
        </is>
      </c>
      <c r="O434" t="inlineStr">
        <is>
          <t>B</t>
        </is>
      </c>
      <c r="P434" t="inlineStr">
        <is>
          <t>D</t>
        </is>
      </c>
      <c r="Q434" t="inlineStr">
        <is>
          <t>A</t>
        </is>
      </c>
      <c r="R434" t="inlineStr">
        <is>
          <t>G</t>
        </is>
      </c>
      <c r="S434" t="inlineStr">
        <is>
          <t>L</t>
        </is>
      </c>
      <c r="T434" t="inlineStr">
        <is>
          <t>I</t>
        </is>
      </c>
    </row>
    <row r="435">
      <c r="L435" t="n">
        <v>1871</v>
      </c>
      <c r="M435" t="inlineStr">
        <is>
          <t>C</t>
        </is>
      </c>
      <c r="N435" t="inlineStr">
        <is>
          <t>J</t>
        </is>
      </c>
      <c r="O435" t="inlineStr">
        <is>
          <t>B</t>
        </is>
      </c>
      <c r="P435" t="inlineStr">
        <is>
          <t>D</t>
        </is>
      </c>
      <c r="Q435" t="inlineStr">
        <is>
          <t>A</t>
        </is>
      </c>
      <c r="R435" t="inlineStr">
        <is>
          <t>G</t>
        </is>
      </c>
      <c r="S435" t="inlineStr">
        <is>
          <t>I</t>
        </is>
      </c>
      <c r="T435" t="inlineStr">
        <is>
          <t>K</t>
        </is>
      </c>
    </row>
    <row r="436">
      <c r="L436" t="n">
        <v>3279</v>
      </c>
      <c r="M436" t="inlineStr">
        <is>
          <t>H</t>
        </is>
      </c>
      <c r="N436" t="inlineStr">
        <is>
          <t>G</t>
        </is>
      </c>
      <c r="O436" t="inlineStr">
        <is>
          <t>B</t>
        </is>
      </c>
      <c r="P436" t="inlineStr">
        <is>
          <t>C</t>
        </is>
      </c>
      <c r="Q436" t="inlineStr">
        <is>
          <t>A</t>
        </is>
      </c>
      <c r="R436" t="inlineStr">
        <is>
          <t>D</t>
        </is>
      </c>
      <c r="S436" t="inlineStr">
        <is>
          <t>L</t>
        </is>
      </c>
      <c r="T436" t="inlineStr">
        <is>
          <t>K</t>
        </is>
      </c>
    </row>
    <row r="437">
      <c r="L437" t="n">
        <v>2767</v>
      </c>
      <c r="M437" t="inlineStr">
        <is>
          <t>H</t>
        </is>
      </c>
      <c r="N437" t="inlineStr">
        <is>
          <t>G</t>
        </is>
      </c>
      <c r="O437" t="inlineStr">
        <is>
          <t>B</t>
        </is>
      </c>
      <c r="P437" t="inlineStr">
        <is>
          <t>C</t>
        </is>
      </c>
      <c r="Q437" t="inlineStr">
        <is>
          <t>A</t>
        </is>
      </c>
      <c r="R437" t="inlineStr">
        <is>
          <t>D</t>
        </is>
      </c>
      <c r="S437" t="inlineStr">
        <is>
          <t>L</t>
        </is>
      </c>
      <c r="T437" t="inlineStr">
        <is>
          <t>J</t>
        </is>
      </c>
    </row>
    <row r="438">
      <c r="L438" t="n">
        <v>1743</v>
      </c>
      <c r="M438" t="inlineStr">
        <is>
          <t>H</t>
        </is>
      </c>
      <c r="N438" t="inlineStr">
        <is>
          <t>G</t>
        </is>
      </c>
      <c r="O438" t="inlineStr">
        <is>
          <t>B</t>
        </is>
      </c>
      <c r="P438" t="inlineStr">
        <is>
          <t>C</t>
        </is>
      </c>
      <c r="Q438" t="inlineStr">
        <is>
          <t>A</t>
        </is>
      </c>
      <c r="R438" t="inlineStr">
        <is>
          <t>D</t>
        </is>
      </c>
      <c r="S438" t="inlineStr">
        <is>
          <t>J</t>
        </is>
      </c>
      <c r="T438" t="inlineStr">
        <is>
          <t>K</t>
        </is>
      </c>
    </row>
    <row r="439">
      <c r="L439" t="n">
        <v>2511</v>
      </c>
      <c r="M439" t="inlineStr">
        <is>
          <t>H</t>
        </is>
      </c>
      <c r="N439" t="inlineStr">
        <is>
          <t>G</t>
        </is>
      </c>
      <c r="O439" t="inlineStr">
        <is>
          <t>B</t>
        </is>
      </c>
      <c r="P439" t="inlineStr">
        <is>
          <t>C</t>
        </is>
      </c>
      <c r="Q439" t="inlineStr">
        <is>
          <t>A</t>
        </is>
      </c>
      <c r="R439" t="inlineStr">
        <is>
          <t>D</t>
        </is>
      </c>
      <c r="S439" t="inlineStr">
        <is>
          <t>L</t>
        </is>
      </c>
      <c r="T439" t="inlineStr">
        <is>
          <t>I</t>
        </is>
      </c>
    </row>
    <row r="440">
      <c r="L440" t="n">
        <v>1487</v>
      </c>
      <c r="M440" t="inlineStr">
        <is>
          <t>H</t>
        </is>
      </c>
      <c r="N440" t="inlineStr">
        <is>
          <t>G</t>
        </is>
      </c>
      <c r="O440" t="inlineStr">
        <is>
          <t>B</t>
        </is>
      </c>
      <c r="P440" t="inlineStr">
        <is>
          <t>C</t>
        </is>
      </c>
      <c r="Q440" t="inlineStr">
        <is>
          <t>A</t>
        </is>
      </c>
      <c r="R440" t="inlineStr">
        <is>
          <t>D</t>
        </is>
      </c>
      <c r="S440" t="inlineStr">
        <is>
          <t>I</t>
        </is>
      </c>
      <c r="T440" t="inlineStr">
        <is>
          <t>K</t>
        </is>
      </c>
    </row>
    <row r="441">
      <c r="L441" t="n">
        <v>975</v>
      </c>
      <c r="M441" t="inlineStr">
        <is>
          <t>H</t>
        </is>
      </c>
      <c r="N441" t="inlineStr">
        <is>
          <t>G</t>
        </is>
      </c>
      <c r="O441" t="inlineStr">
        <is>
          <t>B</t>
        </is>
      </c>
      <c r="P441" t="inlineStr">
        <is>
          <t>C</t>
        </is>
      </c>
      <c r="Q441" t="inlineStr">
        <is>
          <t>A</t>
        </is>
      </c>
      <c r="R441" t="inlineStr">
        <is>
          <t>D</t>
        </is>
      </c>
      <c r="S441" t="inlineStr">
        <is>
          <t>I</t>
        </is>
      </c>
      <c r="T441" t="inlineStr">
        <is>
          <t>J</t>
        </is>
      </c>
    </row>
    <row r="442">
      <c r="L442" t="n">
        <v>3631</v>
      </c>
      <c r="M442" t="inlineStr">
        <is>
          <t>C</t>
        </is>
      </c>
      <c r="N442" t="inlineStr">
        <is>
          <t>J</t>
        </is>
      </c>
      <c r="O442" t="inlineStr">
        <is>
          <t>B</t>
        </is>
      </c>
      <c r="P442" t="inlineStr">
        <is>
          <t>D</t>
        </is>
      </c>
      <c r="Q442" t="inlineStr">
        <is>
          <t>A</t>
        </is>
      </c>
      <c r="R442" t="inlineStr">
        <is>
          <t>F</t>
        </is>
      </c>
      <c r="S442" t="inlineStr">
        <is>
          <t>L</t>
        </is>
      </c>
      <c r="T442" t="inlineStr">
        <is>
          <t>K</t>
        </is>
      </c>
    </row>
    <row r="443">
      <c r="L443" t="n">
        <v>3375</v>
      </c>
      <c r="M443" t="inlineStr">
        <is>
          <t>C</t>
        </is>
      </c>
      <c r="N443" t="inlineStr">
        <is>
          <t>I</t>
        </is>
      </c>
      <c r="O443" t="inlineStr">
        <is>
          <t>B</t>
        </is>
      </c>
      <c r="P443" t="inlineStr">
        <is>
          <t>D</t>
        </is>
      </c>
      <c r="Q443" t="inlineStr">
        <is>
          <t>A</t>
        </is>
      </c>
      <c r="R443" t="inlineStr">
        <is>
          <t>F</t>
        </is>
      </c>
      <c r="S443" t="inlineStr">
        <is>
          <t>L</t>
        </is>
      </c>
      <c r="T443" t="inlineStr">
        <is>
          <t>K</t>
        </is>
      </c>
    </row>
    <row r="444">
      <c r="L444" t="n">
        <v>2863</v>
      </c>
      <c r="M444" t="inlineStr">
        <is>
          <t>C</t>
        </is>
      </c>
      <c r="N444" t="inlineStr">
        <is>
          <t>J</t>
        </is>
      </c>
      <c r="O444" t="inlineStr">
        <is>
          <t>B</t>
        </is>
      </c>
      <c r="P444" t="inlineStr">
        <is>
          <t>D</t>
        </is>
      </c>
      <c r="Q444" t="inlineStr">
        <is>
          <t>A</t>
        </is>
      </c>
      <c r="R444" t="inlineStr">
        <is>
          <t>F</t>
        </is>
      </c>
      <c r="S444" t="inlineStr">
        <is>
          <t>L</t>
        </is>
      </c>
      <c r="T444" t="inlineStr">
        <is>
          <t>I</t>
        </is>
      </c>
    </row>
    <row r="445">
      <c r="L445" t="n">
        <v>1839</v>
      </c>
      <c r="M445" t="inlineStr">
        <is>
          <t>C</t>
        </is>
      </c>
      <c r="N445" t="inlineStr">
        <is>
          <t>J</t>
        </is>
      </c>
      <c r="O445" t="inlineStr">
        <is>
          <t>B</t>
        </is>
      </c>
      <c r="P445" t="inlineStr">
        <is>
          <t>D</t>
        </is>
      </c>
      <c r="Q445" t="inlineStr">
        <is>
          <t>A</t>
        </is>
      </c>
      <c r="R445" t="inlineStr">
        <is>
          <t>F</t>
        </is>
      </c>
      <c r="S445" t="inlineStr">
        <is>
          <t>I</t>
        </is>
      </c>
      <c r="T445" t="inlineStr">
        <is>
          <t>K</t>
        </is>
      </c>
    </row>
    <row r="446">
      <c r="L446" t="n">
        <v>3247</v>
      </c>
      <c r="M446" t="inlineStr">
        <is>
          <t>H</t>
        </is>
      </c>
      <c r="N446" t="inlineStr">
        <is>
          <t>F</t>
        </is>
      </c>
      <c r="O446" t="inlineStr">
        <is>
          <t>B</t>
        </is>
      </c>
      <c r="P446" t="inlineStr">
        <is>
          <t>C</t>
        </is>
      </c>
      <c r="Q446" t="inlineStr">
        <is>
          <t>A</t>
        </is>
      </c>
      <c r="R446" t="inlineStr">
        <is>
          <t>D</t>
        </is>
      </c>
      <c r="S446" t="inlineStr">
        <is>
          <t>L</t>
        </is>
      </c>
      <c r="T446" t="inlineStr">
        <is>
          <t>K</t>
        </is>
      </c>
    </row>
    <row r="447">
      <c r="L447" t="n">
        <v>2735</v>
      </c>
      <c r="M447" t="inlineStr">
        <is>
          <t>C</t>
        </is>
      </c>
      <c r="N447" t="inlineStr">
        <is>
          <t>J</t>
        </is>
      </c>
      <c r="O447" t="inlineStr">
        <is>
          <t>B</t>
        </is>
      </c>
      <c r="P447" t="inlineStr">
        <is>
          <t>D</t>
        </is>
      </c>
      <c r="Q447" t="inlineStr">
        <is>
          <t>A</t>
        </is>
      </c>
      <c r="R447" t="inlineStr">
        <is>
          <t>F</t>
        </is>
      </c>
      <c r="S447" t="inlineStr">
        <is>
          <t>L</t>
        </is>
      </c>
      <c r="T447" t="inlineStr">
        <is>
          <t>H</t>
        </is>
      </c>
    </row>
    <row r="448">
      <c r="L448" t="n">
        <v>1711</v>
      </c>
      <c r="M448" t="inlineStr">
        <is>
          <t>H</t>
        </is>
      </c>
      <c r="N448" t="inlineStr">
        <is>
          <t>J</t>
        </is>
      </c>
      <c r="O448" t="inlineStr">
        <is>
          <t>B</t>
        </is>
      </c>
      <c r="P448" t="inlineStr">
        <is>
          <t>C</t>
        </is>
      </c>
      <c r="Q448" t="inlineStr">
        <is>
          <t>A</t>
        </is>
      </c>
      <c r="R448" t="inlineStr">
        <is>
          <t>F</t>
        </is>
      </c>
      <c r="S448" t="inlineStr">
        <is>
          <t>D</t>
        </is>
      </c>
      <c r="T448" t="inlineStr">
        <is>
          <t>K</t>
        </is>
      </c>
    </row>
    <row r="449">
      <c r="L449" t="n">
        <v>2479</v>
      </c>
      <c r="M449" t="inlineStr">
        <is>
          <t>H</t>
        </is>
      </c>
      <c r="N449" t="inlineStr">
        <is>
          <t>F</t>
        </is>
      </c>
      <c r="O449" t="inlineStr">
        <is>
          <t>B</t>
        </is>
      </c>
      <c r="P449" t="inlineStr">
        <is>
          <t>C</t>
        </is>
      </c>
      <c r="Q449" t="inlineStr">
        <is>
          <t>A</t>
        </is>
      </c>
      <c r="R449" t="inlineStr">
        <is>
          <t>D</t>
        </is>
      </c>
      <c r="S449" t="inlineStr">
        <is>
          <t>L</t>
        </is>
      </c>
      <c r="T449" t="inlineStr">
        <is>
          <t>I</t>
        </is>
      </c>
    </row>
    <row r="450">
      <c r="L450" t="n">
        <v>1455</v>
      </c>
      <c r="M450" t="inlineStr">
        <is>
          <t>H</t>
        </is>
      </c>
      <c r="N450" t="inlineStr">
        <is>
          <t>F</t>
        </is>
      </c>
      <c r="O450" t="inlineStr">
        <is>
          <t>B</t>
        </is>
      </c>
      <c r="P450" t="inlineStr">
        <is>
          <t>C</t>
        </is>
      </c>
      <c r="Q450" t="inlineStr">
        <is>
          <t>A</t>
        </is>
      </c>
      <c r="R450" t="inlineStr">
        <is>
          <t>D</t>
        </is>
      </c>
      <c r="S450" t="inlineStr">
        <is>
          <t>I</t>
        </is>
      </c>
      <c r="T450" t="inlineStr">
        <is>
          <t>K</t>
        </is>
      </c>
    </row>
    <row r="451">
      <c r="L451" t="n">
        <v>943</v>
      </c>
      <c r="M451" t="inlineStr">
        <is>
          <t>H</t>
        </is>
      </c>
      <c r="N451" t="inlineStr">
        <is>
          <t>J</t>
        </is>
      </c>
      <c r="O451" t="inlineStr">
        <is>
          <t>B</t>
        </is>
      </c>
      <c r="P451" t="inlineStr">
        <is>
          <t>C</t>
        </is>
      </c>
      <c r="Q451" t="inlineStr">
        <is>
          <t>A</t>
        </is>
      </c>
      <c r="R451" t="inlineStr">
        <is>
          <t>F</t>
        </is>
      </c>
      <c r="S451" t="inlineStr">
        <is>
          <t>D</t>
        </is>
      </c>
      <c r="T451" t="inlineStr">
        <is>
          <t>I</t>
        </is>
      </c>
    </row>
    <row r="452">
      <c r="L452" t="n">
        <v>3183</v>
      </c>
      <c r="M452" t="inlineStr">
        <is>
          <t>C</t>
        </is>
      </c>
      <c r="N452" t="inlineStr">
        <is>
          <t>G</t>
        </is>
      </c>
      <c r="O452" t="inlineStr">
        <is>
          <t>B</t>
        </is>
      </c>
      <c r="P452" t="inlineStr">
        <is>
          <t>D</t>
        </is>
      </c>
      <c r="Q452" t="inlineStr">
        <is>
          <t>A</t>
        </is>
      </c>
      <c r="R452" t="inlineStr">
        <is>
          <t>F</t>
        </is>
      </c>
      <c r="S452" t="inlineStr">
        <is>
          <t>L</t>
        </is>
      </c>
      <c r="T452" t="inlineStr">
        <is>
          <t>K</t>
        </is>
      </c>
    </row>
    <row r="453">
      <c r="L453" t="n">
        <v>2671</v>
      </c>
      <c r="M453" t="inlineStr">
        <is>
          <t>C</t>
        </is>
      </c>
      <c r="N453" t="inlineStr">
        <is>
          <t>G</t>
        </is>
      </c>
      <c r="O453" t="inlineStr">
        <is>
          <t>B</t>
        </is>
      </c>
      <c r="P453" t="inlineStr">
        <is>
          <t>D</t>
        </is>
      </c>
      <c r="Q453" t="inlineStr">
        <is>
          <t>A</t>
        </is>
      </c>
      <c r="R453" t="inlineStr">
        <is>
          <t>F</t>
        </is>
      </c>
      <c r="S453" t="inlineStr">
        <is>
          <t>L</t>
        </is>
      </c>
      <c r="T453" t="inlineStr">
        <is>
          <t>J</t>
        </is>
      </c>
    </row>
    <row r="454">
      <c r="L454" t="n">
        <v>1647</v>
      </c>
      <c r="M454" t="inlineStr">
        <is>
          <t>C</t>
        </is>
      </c>
      <c r="N454" t="inlineStr">
        <is>
          <t>G</t>
        </is>
      </c>
      <c r="O454" t="inlineStr">
        <is>
          <t>B</t>
        </is>
      </c>
      <c r="P454" t="inlineStr">
        <is>
          <t>D</t>
        </is>
      </c>
      <c r="Q454" t="inlineStr">
        <is>
          <t>A</t>
        </is>
      </c>
      <c r="R454" t="inlineStr">
        <is>
          <t>F</t>
        </is>
      </c>
      <c r="S454" t="inlineStr">
        <is>
          <t>J</t>
        </is>
      </c>
      <c r="T454" t="inlineStr">
        <is>
          <t>K</t>
        </is>
      </c>
    </row>
    <row r="455">
      <c r="L455" t="n">
        <v>2415</v>
      </c>
      <c r="M455" t="inlineStr">
        <is>
          <t>C</t>
        </is>
      </c>
      <c r="N455" t="inlineStr">
        <is>
          <t>G</t>
        </is>
      </c>
      <c r="O455" t="inlineStr">
        <is>
          <t>B</t>
        </is>
      </c>
      <c r="P455" t="inlineStr">
        <is>
          <t>D</t>
        </is>
      </c>
      <c r="Q455" t="inlineStr">
        <is>
          <t>A</t>
        </is>
      </c>
      <c r="R455" t="inlineStr">
        <is>
          <t>F</t>
        </is>
      </c>
      <c r="S455" t="inlineStr">
        <is>
          <t>L</t>
        </is>
      </c>
      <c r="T455" t="inlineStr">
        <is>
          <t>I</t>
        </is>
      </c>
    </row>
    <row r="456">
      <c r="L456" t="n">
        <v>1391</v>
      </c>
      <c r="M456" t="inlineStr">
        <is>
          <t>C</t>
        </is>
      </c>
      <c r="N456" t="inlineStr">
        <is>
          <t>G</t>
        </is>
      </c>
      <c r="O456" t="inlineStr">
        <is>
          <t>B</t>
        </is>
      </c>
      <c r="P456" t="inlineStr">
        <is>
          <t>D</t>
        </is>
      </c>
      <c r="Q456" t="inlineStr">
        <is>
          <t>A</t>
        </is>
      </c>
      <c r="R456" t="inlineStr">
        <is>
          <t>F</t>
        </is>
      </c>
      <c r="S456" t="inlineStr">
        <is>
          <t>I</t>
        </is>
      </c>
      <c r="T456" t="inlineStr">
        <is>
          <t>K</t>
        </is>
      </c>
    </row>
    <row r="457">
      <c r="L457" t="n">
        <v>879</v>
      </c>
      <c r="M457" t="inlineStr">
        <is>
          <t>C</t>
        </is>
      </c>
      <c r="N457" t="inlineStr">
        <is>
          <t>G</t>
        </is>
      </c>
      <c r="O457" t="inlineStr">
        <is>
          <t>B</t>
        </is>
      </c>
      <c r="P457" t="inlineStr">
        <is>
          <t>D</t>
        </is>
      </c>
      <c r="Q457" t="inlineStr">
        <is>
          <t>A</t>
        </is>
      </c>
      <c r="R457" t="inlineStr">
        <is>
          <t>F</t>
        </is>
      </c>
      <c r="S457" t="inlineStr">
        <is>
          <t>I</t>
        </is>
      </c>
      <c r="T457" t="inlineStr">
        <is>
          <t>J</t>
        </is>
      </c>
    </row>
    <row r="458">
      <c r="L458" t="n">
        <v>2287</v>
      </c>
      <c r="M458" t="inlineStr">
        <is>
          <t>C</t>
        </is>
      </c>
      <c r="N458" t="inlineStr">
        <is>
          <t>G</t>
        </is>
      </c>
      <c r="O458" t="inlineStr">
        <is>
          <t>B</t>
        </is>
      </c>
      <c r="P458" t="inlineStr">
        <is>
          <t>D</t>
        </is>
      </c>
      <c r="Q458" t="inlineStr">
        <is>
          <t>A</t>
        </is>
      </c>
      <c r="R458" t="inlineStr">
        <is>
          <t>F</t>
        </is>
      </c>
      <c r="S458" t="inlineStr">
        <is>
          <t>L</t>
        </is>
      </c>
      <c r="T458" t="inlineStr">
        <is>
          <t>H</t>
        </is>
      </c>
    </row>
    <row r="459">
      <c r="L459" t="n">
        <v>1263</v>
      </c>
      <c r="M459" t="inlineStr">
        <is>
          <t>H</t>
        </is>
      </c>
      <c r="N459" t="inlineStr">
        <is>
          <t>G</t>
        </is>
      </c>
      <c r="O459" t="inlineStr">
        <is>
          <t>B</t>
        </is>
      </c>
      <c r="P459" t="inlineStr">
        <is>
          <t>C</t>
        </is>
      </c>
      <c r="Q459" t="inlineStr">
        <is>
          <t>A</t>
        </is>
      </c>
      <c r="R459" t="inlineStr">
        <is>
          <t>F</t>
        </is>
      </c>
      <c r="S459" t="inlineStr">
        <is>
          <t>D</t>
        </is>
      </c>
      <c r="T459" t="inlineStr">
        <is>
          <t>K</t>
        </is>
      </c>
    </row>
    <row r="460">
      <c r="L460" t="n">
        <v>751</v>
      </c>
      <c r="M460" t="inlineStr">
        <is>
          <t>H</t>
        </is>
      </c>
      <c r="N460" t="inlineStr">
        <is>
          <t>G</t>
        </is>
      </c>
      <c r="O460" t="inlineStr">
        <is>
          <t>B</t>
        </is>
      </c>
      <c r="P460" t="inlineStr">
        <is>
          <t>C</t>
        </is>
      </c>
      <c r="Q460" t="inlineStr">
        <is>
          <t>A</t>
        </is>
      </c>
      <c r="R460" t="inlineStr">
        <is>
          <t>F</t>
        </is>
      </c>
      <c r="S460" t="inlineStr">
        <is>
          <t>D</t>
        </is>
      </c>
      <c r="T460" t="inlineStr">
        <is>
          <t>J</t>
        </is>
      </c>
    </row>
    <row r="461">
      <c r="L461" t="n">
        <v>495</v>
      </c>
      <c r="M461" t="inlineStr">
        <is>
          <t>H</t>
        </is>
      </c>
      <c r="N461" t="inlineStr">
        <is>
          <t>G</t>
        </is>
      </c>
      <c r="O461" t="inlineStr">
        <is>
          <t>B</t>
        </is>
      </c>
      <c r="P461" t="inlineStr">
        <is>
          <t>C</t>
        </is>
      </c>
      <c r="Q461" t="inlineStr">
        <is>
          <t>A</t>
        </is>
      </c>
      <c r="R461" t="inlineStr">
        <is>
          <t>F</t>
        </is>
      </c>
      <c r="S461" t="inlineStr">
        <is>
          <t>D</t>
        </is>
      </c>
      <c r="T461" t="inlineStr">
        <is>
          <t>I</t>
        </is>
      </c>
    </row>
    <row r="462">
      <c r="L462" t="n">
        <v>3615</v>
      </c>
      <c r="M462" t="inlineStr">
        <is>
          <t>E</t>
        </is>
      </c>
      <c r="N462" t="inlineStr">
        <is>
          <t>J</t>
        </is>
      </c>
      <c r="O462" t="inlineStr">
        <is>
          <t>B</t>
        </is>
      </c>
      <c r="P462" t="inlineStr">
        <is>
          <t>C</t>
        </is>
      </c>
      <c r="Q462" t="inlineStr">
        <is>
          <t>A</t>
        </is>
      </c>
      <c r="R462" t="inlineStr">
        <is>
          <t>D</t>
        </is>
      </c>
      <c r="S462" t="inlineStr">
        <is>
          <t>L</t>
        </is>
      </c>
      <c r="T462" t="inlineStr">
        <is>
          <t>K</t>
        </is>
      </c>
    </row>
    <row r="463">
      <c r="L463" t="n">
        <v>3359</v>
      </c>
      <c r="M463" t="inlineStr">
        <is>
          <t>E</t>
        </is>
      </c>
      <c r="N463" t="inlineStr">
        <is>
          <t>I</t>
        </is>
      </c>
      <c r="O463" t="inlineStr">
        <is>
          <t>B</t>
        </is>
      </c>
      <c r="P463" t="inlineStr">
        <is>
          <t>C</t>
        </is>
      </c>
      <c r="Q463" t="inlineStr">
        <is>
          <t>A</t>
        </is>
      </c>
      <c r="R463" t="inlineStr">
        <is>
          <t>D</t>
        </is>
      </c>
      <c r="S463" t="inlineStr">
        <is>
          <t>L</t>
        </is>
      </c>
      <c r="T463" t="inlineStr">
        <is>
          <t>K</t>
        </is>
      </c>
    </row>
    <row r="464">
      <c r="L464" t="n">
        <v>2847</v>
      </c>
      <c r="M464" t="inlineStr">
        <is>
          <t>E</t>
        </is>
      </c>
      <c r="N464" t="inlineStr">
        <is>
          <t>J</t>
        </is>
      </c>
      <c r="O464" t="inlineStr">
        <is>
          <t>B</t>
        </is>
      </c>
      <c r="P464" t="inlineStr">
        <is>
          <t>C</t>
        </is>
      </c>
      <c r="Q464" t="inlineStr">
        <is>
          <t>A</t>
        </is>
      </c>
      <c r="R464" t="inlineStr">
        <is>
          <t>D</t>
        </is>
      </c>
      <c r="S464" t="inlineStr">
        <is>
          <t>L</t>
        </is>
      </c>
      <c r="T464" t="inlineStr">
        <is>
          <t>I</t>
        </is>
      </c>
    </row>
    <row r="465">
      <c r="L465" t="n">
        <v>1823</v>
      </c>
      <c r="M465" t="inlineStr">
        <is>
          <t>E</t>
        </is>
      </c>
      <c r="N465" t="inlineStr">
        <is>
          <t>J</t>
        </is>
      </c>
      <c r="O465" t="inlineStr">
        <is>
          <t>B</t>
        </is>
      </c>
      <c r="P465" t="inlineStr">
        <is>
          <t>C</t>
        </is>
      </c>
      <c r="Q465" t="inlineStr">
        <is>
          <t>A</t>
        </is>
      </c>
      <c r="R465" t="inlineStr">
        <is>
          <t>D</t>
        </is>
      </c>
      <c r="S465" t="inlineStr">
        <is>
          <t>I</t>
        </is>
      </c>
      <c r="T465" t="inlineStr">
        <is>
          <t>K</t>
        </is>
      </c>
    </row>
    <row r="466">
      <c r="L466" t="n">
        <v>3231</v>
      </c>
      <c r="M466" t="inlineStr">
        <is>
          <t>H</t>
        </is>
      </c>
      <c r="N466" t="inlineStr">
        <is>
          <t>E</t>
        </is>
      </c>
      <c r="O466" t="inlineStr">
        <is>
          <t>B</t>
        </is>
      </c>
      <c r="P466" t="inlineStr">
        <is>
          <t>C</t>
        </is>
      </c>
      <c r="Q466" t="inlineStr">
        <is>
          <t>A</t>
        </is>
      </c>
      <c r="R466" t="inlineStr">
        <is>
          <t>D</t>
        </is>
      </c>
      <c r="S466" t="inlineStr">
        <is>
          <t>L</t>
        </is>
      </c>
      <c r="T466" t="inlineStr">
        <is>
          <t>K</t>
        </is>
      </c>
    </row>
    <row r="467">
      <c r="L467" t="n">
        <v>2719</v>
      </c>
      <c r="M467" t="inlineStr">
        <is>
          <t>H</t>
        </is>
      </c>
      <c r="N467" t="inlineStr">
        <is>
          <t>J</t>
        </is>
      </c>
      <c r="O467" t="inlineStr">
        <is>
          <t>B</t>
        </is>
      </c>
      <c r="P467" t="inlineStr">
        <is>
          <t>C</t>
        </is>
      </c>
      <c r="Q467" t="inlineStr">
        <is>
          <t>A</t>
        </is>
      </c>
      <c r="R467" t="inlineStr">
        <is>
          <t>D</t>
        </is>
      </c>
      <c r="S467" t="inlineStr">
        <is>
          <t>L</t>
        </is>
      </c>
      <c r="T467" t="inlineStr">
        <is>
          <t>E</t>
        </is>
      </c>
    </row>
    <row r="468">
      <c r="L468" t="n">
        <v>1695</v>
      </c>
      <c r="M468" t="inlineStr">
        <is>
          <t>H</t>
        </is>
      </c>
      <c r="N468" t="inlineStr">
        <is>
          <t>J</t>
        </is>
      </c>
      <c r="O468" t="inlineStr">
        <is>
          <t>B</t>
        </is>
      </c>
      <c r="P468" t="inlineStr">
        <is>
          <t>C</t>
        </is>
      </c>
      <c r="Q468" t="inlineStr">
        <is>
          <t>A</t>
        </is>
      </c>
      <c r="R468" t="inlineStr">
        <is>
          <t>D</t>
        </is>
      </c>
      <c r="S468" t="inlineStr">
        <is>
          <t>E</t>
        </is>
      </c>
      <c r="T468" t="inlineStr">
        <is>
          <t>K</t>
        </is>
      </c>
    </row>
    <row r="469">
      <c r="L469" t="n">
        <v>2463</v>
      </c>
      <c r="M469" t="inlineStr">
        <is>
          <t>H</t>
        </is>
      </c>
      <c r="N469" t="inlineStr">
        <is>
          <t>E</t>
        </is>
      </c>
      <c r="O469" t="inlineStr">
        <is>
          <t>B</t>
        </is>
      </c>
      <c r="P469" t="inlineStr">
        <is>
          <t>C</t>
        </is>
      </c>
      <c r="Q469" t="inlineStr">
        <is>
          <t>A</t>
        </is>
      </c>
      <c r="R469" t="inlineStr">
        <is>
          <t>D</t>
        </is>
      </c>
      <c r="S469" t="inlineStr">
        <is>
          <t>L</t>
        </is>
      </c>
      <c r="T469" t="inlineStr">
        <is>
          <t>I</t>
        </is>
      </c>
    </row>
    <row r="470">
      <c r="L470" t="n">
        <v>1439</v>
      </c>
      <c r="M470" t="inlineStr">
        <is>
          <t>H</t>
        </is>
      </c>
      <c r="N470" t="inlineStr">
        <is>
          <t>E</t>
        </is>
      </c>
      <c r="O470" t="inlineStr">
        <is>
          <t>B</t>
        </is>
      </c>
      <c r="P470" t="inlineStr">
        <is>
          <t>C</t>
        </is>
      </c>
      <c r="Q470" t="inlineStr">
        <is>
          <t>A</t>
        </is>
      </c>
      <c r="R470" t="inlineStr">
        <is>
          <t>D</t>
        </is>
      </c>
      <c r="S470" t="inlineStr">
        <is>
          <t>I</t>
        </is>
      </c>
      <c r="T470" t="inlineStr">
        <is>
          <t>K</t>
        </is>
      </c>
    </row>
    <row r="471">
      <c r="L471" t="n">
        <v>927</v>
      </c>
      <c r="M471" t="inlineStr">
        <is>
          <t>H</t>
        </is>
      </c>
      <c r="N471" t="inlineStr">
        <is>
          <t>J</t>
        </is>
      </c>
      <c r="O471" t="inlineStr">
        <is>
          <t>B</t>
        </is>
      </c>
      <c r="P471" t="inlineStr">
        <is>
          <t>C</t>
        </is>
      </c>
      <c r="Q471" t="inlineStr">
        <is>
          <t>A</t>
        </is>
      </c>
      <c r="R471" t="inlineStr">
        <is>
          <t>D</t>
        </is>
      </c>
      <c r="S471" t="inlineStr">
        <is>
          <t>E</t>
        </is>
      </c>
      <c r="T471" t="inlineStr">
        <is>
          <t>I</t>
        </is>
      </c>
    </row>
    <row r="472">
      <c r="L472" t="n">
        <v>3167</v>
      </c>
      <c r="M472" t="inlineStr">
        <is>
          <t>E</t>
        </is>
      </c>
      <c r="N472" t="inlineStr">
        <is>
          <t>G</t>
        </is>
      </c>
      <c r="O472" t="inlineStr">
        <is>
          <t>B</t>
        </is>
      </c>
      <c r="P472" t="inlineStr">
        <is>
          <t>C</t>
        </is>
      </c>
      <c r="Q472" t="inlineStr">
        <is>
          <t>A</t>
        </is>
      </c>
      <c r="R472" t="inlineStr">
        <is>
          <t>D</t>
        </is>
      </c>
      <c r="S472" t="inlineStr">
        <is>
          <t>L</t>
        </is>
      </c>
      <c r="T472" t="inlineStr">
        <is>
          <t>K</t>
        </is>
      </c>
    </row>
    <row r="473">
      <c r="L473" t="n">
        <v>2655</v>
      </c>
      <c r="M473" t="inlineStr">
        <is>
          <t>E</t>
        </is>
      </c>
      <c r="N473" t="inlineStr">
        <is>
          <t>G</t>
        </is>
      </c>
      <c r="O473" t="inlineStr">
        <is>
          <t>B</t>
        </is>
      </c>
      <c r="P473" t="inlineStr">
        <is>
          <t>C</t>
        </is>
      </c>
      <c r="Q473" t="inlineStr">
        <is>
          <t>A</t>
        </is>
      </c>
      <c r="R473" t="inlineStr">
        <is>
          <t>D</t>
        </is>
      </c>
      <c r="S473" t="inlineStr">
        <is>
          <t>L</t>
        </is>
      </c>
      <c r="T473" t="inlineStr">
        <is>
          <t>J</t>
        </is>
      </c>
    </row>
    <row r="474">
      <c r="L474" t="n">
        <v>1631</v>
      </c>
      <c r="M474" t="inlineStr">
        <is>
          <t>E</t>
        </is>
      </c>
      <c r="N474" t="inlineStr">
        <is>
          <t>G</t>
        </is>
      </c>
      <c r="O474" t="inlineStr">
        <is>
          <t>B</t>
        </is>
      </c>
      <c r="P474" t="inlineStr">
        <is>
          <t>C</t>
        </is>
      </c>
      <c r="Q474" t="inlineStr">
        <is>
          <t>A</t>
        </is>
      </c>
      <c r="R474" t="inlineStr">
        <is>
          <t>D</t>
        </is>
      </c>
      <c r="S474" t="inlineStr">
        <is>
          <t>J</t>
        </is>
      </c>
      <c r="T474" t="inlineStr">
        <is>
          <t>K</t>
        </is>
      </c>
    </row>
    <row r="475">
      <c r="L475" t="n">
        <v>2399</v>
      </c>
      <c r="M475" t="inlineStr">
        <is>
          <t>E</t>
        </is>
      </c>
      <c r="N475" t="inlineStr">
        <is>
          <t>G</t>
        </is>
      </c>
      <c r="O475" t="inlineStr">
        <is>
          <t>B</t>
        </is>
      </c>
      <c r="P475" t="inlineStr">
        <is>
          <t>C</t>
        </is>
      </c>
      <c r="Q475" t="inlineStr">
        <is>
          <t>A</t>
        </is>
      </c>
      <c r="R475" t="inlineStr">
        <is>
          <t>D</t>
        </is>
      </c>
      <c r="S475" t="inlineStr">
        <is>
          <t>L</t>
        </is>
      </c>
      <c r="T475" t="inlineStr">
        <is>
          <t>I</t>
        </is>
      </c>
    </row>
    <row r="476">
      <c r="L476" t="n">
        <v>1375</v>
      </c>
      <c r="M476" t="inlineStr">
        <is>
          <t>E</t>
        </is>
      </c>
      <c r="N476" t="inlineStr">
        <is>
          <t>G</t>
        </is>
      </c>
      <c r="O476" t="inlineStr">
        <is>
          <t>B</t>
        </is>
      </c>
      <c r="P476" t="inlineStr">
        <is>
          <t>C</t>
        </is>
      </c>
      <c r="Q476" t="inlineStr">
        <is>
          <t>A</t>
        </is>
      </c>
      <c r="R476" t="inlineStr">
        <is>
          <t>D</t>
        </is>
      </c>
      <c r="S476" t="inlineStr">
        <is>
          <t>I</t>
        </is>
      </c>
      <c r="T476" t="inlineStr">
        <is>
          <t>K</t>
        </is>
      </c>
    </row>
    <row r="477">
      <c r="L477" t="n">
        <v>863</v>
      </c>
      <c r="M477" t="inlineStr">
        <is>
          <t>E</t>
        </is>
      </c>
      <c r="N477" t="inlineStr">
        <is>
          <t>G</t>
        </is>
      </c>
      <c r="O477" t="inlineStr">
        <is>
          <t>B</t>
        </is>
      </c>
      <c r="P477" t="inlineStr">
        <is>
          <t>C</t>
        </is>
      </c>
      <c r="Q477" t="inlineStr">
        <is>
          <t>A</t>
        </is>
      </c>
      <c r="R477" t="inlineStr">
        <is>
          <t>D</t>
        </is>
      </c>
      <c r="S477" t="inlineStr">
        <is>
          <t>I</t>
        </is>
      </c>
      <c r="T477" t="inlineStr">
        <is>
          <t>J</t>
        </is>
      </c>
    </row>
    <row r="478">
      <c r="L478" t="n">
        <v>2271</v>
      </c>
      <c r="M478" t="inlineStr">
        <is>
          <t>H</t>
        </is>
      </c>
      <c r="N478" t="inlineStr">
        <is>
          <t>G</t>
        </is>
      </c>
      <c r="O478" t="inlineStr">
        <is>
          <t>B</t>
        </is>
      </c>
      <c r="P478" t="inlineStr">
        <is>
          <t>C</t>
        </is>
      </c>
      <c r="Q478" t="inlineStr">
        <is>
          <t>A</t>
        </is>
      </c>
      <c r="R478" t="inlineStr">
        <is>
          <t>D</t>
        </is>
      </c>
      <c r="S478" t="inlineStr">
        <is>
          <t>L</t>
        </is>
      </c>
      <c r="T478" t="inlineStr">
        <is>
          <t>E</t>
        </is>
      </c>
    </row>
    <row r="479">
      <c r="L479" t="n">
        <v>1247</v>
      </c>
      <c r="M479" t="inlineStr">
        <is>
          <t>H</t>
        </is>
      </c>
      <c r="N479" t="inlineStr">
        <is>
          <t>G</t>
        </is>
      </c>
      <c r="O479" t="inlineStr">
        <is>
          <t>B</t>
        </is>
      </c>
      <c r="P479" t="inlineStr">
        <is>
          <t>C</t>
        </is>
      </c>
      <c r="Q479" t="inlineStr">
        <is>
          <t>A</t>
        </is>
      </c>
      <c r="R479" t="inlineStr">
        <is>
          <t>D</t>
        </is>
      </c>
      <c r="S479" t="inlineStr">
        <is>
          <t>E</t>
        </is>
      </c>
      <c r="T479" t="inlineStr">
        <is>
          <t>K</t>
        </is>
      </c>
    </row>
    <row r="480">
      <c r="L480" t="n">
        <v>735</v>
      </c>
      <c r="M480" t="inlineStr">
        <is>
          <t>H</t>
        </is>
      </c>
      <c r="N480" t="inlineStr">
        <is>
          <t>G</t>
        </is>
      </c>
      <c r="O480" t="inlineStr">
        <is>
          <t>B</t>
        </is>
      </c>
      <c r="P480" t="inlineStr">
        <is>
          <t>C</t>
        </is>
      </c>
      <c r="Q480" t="inlineStr">
        <is>
          <t>A</t>
        </is>
      </c>
      <c r="R480" t="inlineStr">
        <is>
          <t>D</t>
        </is>
      </c>
      <c r="S480" t="inlineStr">
        <is>
          <t>E</t>
        </is>
      </c>
      <c r="T480" t="inlineStr">
        <is>
          <t>J</t>
        </is>
      </c>
    </row>
    <row r="481">
      <c r="L481" t="n">
        <v>479</v>
      </c>
      <c r="M481" t="inlineStr">
        <is>
          <t>H</t>
        </is>
      </c>
      <c r="N481" t="inlineStr">
        <is>
          <t>G</t>
        </is>
      </c>
      <c r="O481" t="inlineStr">
        <is>
          <t>B</t>
        </is>
      </c>
      <c r="P481" t="inlineStr">
        <is>
          <t>C</t>
        </is>
      </c>
      <c r="Q481" t="inlineStr">
        <is>
          <t>A</t>
        </is>
      </c>
      <c r="R481" t="inlineStr">
        <is>
          <t>D</t>
        </is>
      </c>
      <c r="S481" t="inlineStr">
        <is>
          <t>E</t>
        </is>
      </c>
      <c r="T481" t="inlineStr">
        <is>
          <t>I</t>
        </is>
      </c>
    </row>
    <row r="482">
      <c r="L482" t="n">
        <v>3135</v>
      </c>
      <c r="M482" t="inlineStr">
        <is>
          <t>C</t>
        </is>
      </c>
      <c r="N482" t="inlineStr">
        <is>
          <t>E</t>
        </is>
      </c>
      <c r="O482" t="inlineStr">
        <is>
          <t>B</t>
        </is>
      </c>
      <c r="P482" t="inlineStr">
        <is>
          <t>D</t>
        </is>
      </c>
      <c r="Q482" t="inlineStr">
        <is>
          <t>A</t>
        </is>
      </c>
      <c r="R482" t="inlineStr">
        <is>
          <t>F</t>
        </is>
      </c>
      <c r="S482" t="inlineStr">
        <is>
          <t>L</t>
        </is>
      </c>
      <c r="T482" t="inlineStr">
        <is>
          <t>K</t>
        </is>
      </c>
    </row>
    <row r="483">
      <c r="L483" t="n">
        <v>2623</v>
      </c>
      <c r="M483" t="inlineStr">
        <is>
          <t>C</t>
        </is>
      </c>
      <c r="N483" t="inlineStr">
        <is>
          <t>J</t>
        </is>
      </c>
      <c r="O483" t="inlineStr">
        <is>
          <t>B</t>
        </is>
      </c>
      <c r="P483" t="inlineStr">
        <is>
          <t>D</t>
        </is>
      </c>
      <c r="Q483" t="inlineStr">
        <is>
          <t>A</t>
        </is>
      </c>
      <c r="R483" t="inlineStr">
        <is>
          <t>F</t>
        </is>
      </c>
      <c r="S483" t="inlineStr">
        <is>
          <t>L</t>
        </is>
      </c>
      <c r="T483" t="inlineStr">
        <is>
          <t>E</t>
        </is>
      </c>
    </row>
    <row r="484">
      <c r="L484" t="n">
        <v>1599</v>
      </c>
      <c r="M484" t="inlineStr">
        <is>
          <t>C</t>
        </is>
      </c>
      <c r="N484" t="inlineStr">
        <is>
          <t>J</t>
        </is>
      </c>
      <c r="O484" t="inlineStr">
        <is>
          <t>B</t>
        </is>
      </c>
      <c r="P484" t="inlineStr">
        <is>
          <t>D</t>
        </is>
      </c>
      <c r="Q484" t="inlineStr">
        <is>
          <t>A</t>
        </is>
      </c>
      <c r="R484" t="inlineStr">
        <is>
          <t>F</t>
        </is>
      </c>
      <c r="S484" t="inlineStr">
        <is>
          <t>E</t>
        </is>
      </c>
      <c r="T484" t="inlineStr">
        <is>
          <t>K</t>
        </is>
      </c>
    </row>
    <row r="485">
      <c r="L485" t="n">
        <v>2367</v>
      </c>
      <c r="M485" t="inlineStr">
        <is>
          <t>C</t>
        </is>
      </c>
      <c r="N485" t="inlineStr">
        <is>
          <t>E</t>
        </is>
      </c>
      <c r="O485" t="inlineStr">
        <is>
          <t>B</t>
        </is>
      </c>
      <c r="P485" t="inlineStr">
        <is>
          <t>D</t>
        </is>
      </c>
      <c r="Q485" t="inlineStr">
        <is>
          <t>A</t>
        </is>
      </c>
      <c r="R485" t="inlineStr">
        <is>
          <t>F</t>
        </is>
      </c>
      <c r="S485" t="inlineStr">
        <is>
          <t>L</t>
        </is>
      </c>
      <c r="T485" t="inlineStr">
        <is>
          <t>I</t>
        </is>
      </c>
    </row>
    <row r="486">
      <c r="L486" t="n">
        <v>1343</v>
      </c>
      <c r="M486" t="inlineStr">
        <is>
          <t>C</t>
        </is>
      </c>
      <c r="N486" t="inlineStr">
        <is>
          <t>E</t>
        </is>
      </c>
      <c r="O486" t="inlineStr">
        <is>
          <t>B</t>
        </is>
      </c>
      <c r="P486" t="inlineStr">
        <is>
          <t>D</t>
        </is>
      </c>
      <c r="Q486" t="inlineStr">
        <is>
          <t>A</t>
        </is>
      </c>
      <c r="R486" t="inlineStr">
        <is>
          <t>F</t>
        </is>
      </c>
      <c r="S486" t="inlineStr">
        <is>
          <t>I</t>
        </is>
      </c>
      <c r="T486" t="inlineStr">
        <is>
          <t>K</t>
        </is>
      </c>
    </row>
    <row r="487">
      <c r="L487" t="n">
        <v>831</v>
      </c>
      <c r="M487" t="inlineStr">
        <is>
          <t>C</t>
        </is>
      </c>
      <c r="N487" t="inlineStr">
        <is>
          <t>J</t>
        </is>
      </c>
      <c r="O487" t="inlineStr">
        <is>
          <t>B</t>
        </is>
      </c>
      <c r="P487" t="inlineStr">
        <is>
          <t>D</t>
        </is>
      </c>
      <c r="Q487" t="inlineStr">
        <is>
          <t>A</t>
        </is>
      </c>
      <c r="R487" t="inlineStr">
        <is>
          <t>F</t>
        </is>
      </c>
      <c r="S487" t="inlineStr">
        <is>
          <t>E</t>
        </is>
      </c>
      <c r="T487" t="inlineStr">
        <is>
          <t>I</t>
        </is>
      </c>
    </row>
    <row r="488">
      <c r="L488" t="n">
        <v>2239</v>
      </c>
      <c r="M488" t="inlineStr">
        <is>
          <t>H</t>
        </is>
      </c>
      <c r="N488" t="inlineStr">
        <is>
          <t>F</t>
        </is>
      </c>
      <c r="O488" t="inlineStr">
        <is>
          <t>B</t>
        </is>
      </c>
      <c r="P488" t="inlineStr">
        <is>
          <t>C</t>
        </is>
      </c>
      <c r="Q488" t="inlineStr">
        <is>
          <t>A</t>
        </is>
      </c>
      <c r="R488" t="inlineStr">
        <is>
          <t>D</t>
        </is>
      </c>
      <c r="S488" t="inlineStr">
        <is>
          <t>L</t>
        </is>
      </c>
      <c r="T488" t="inlineStr">
        <is>
          <t>E</t>
        </is>
      </c>
    </row>
    <row r="489">
      <c r="L489" t="n">
        <v>1215</v>
      </c>
      <c r="M489" t="inlineStr">
        <is>
          <t>H</t>
        </is>
      </c>
      <c r="N489" t="inlineStr">
        <is>
          <t>E</t>
        </is>
      </c>
      <c r="O489" t="inlineStr">
        <is>
          <t>B</t>
        </is>
      </c>
      <c r="P489" t="inlineStr">
        <is>
          <t>C</t>
        </is>
      </c>
      <c r="Q489" t="inlineStr">
        <is>
          <t>A</t>
        </is>
      </c>
      <c r="R489" t="inlineStr">
        <is>
          <t>F</t>
        </is>
      </c>
      <c r="S489" t="inlineStr">
        <is>
          <t>D</t>
        </is>
      </c>
      <c r="T489" t="inlineStr">
        <is>
          <t>K</t>
        </is>
      </c>
    </row>
    <row r="490">
      <c r="L490" t="n">
        <v>703</v>
      </c>
      <c r="M490" t="inlineStr">
        <is>
          <t>H</t>
        </is>
      </c>
      <c r="N490" t="inlineStr">
        <is>
          <t>J</t>
        </is>
      </c>
      <c r="O490" t="inlineStr">
        <is>
          <t>B</t>
        </is>
      </c>
      <c r="P490" t="inlineStr">
        <is>
          <t>C</t>
        </is>
      </c>
      <c r="Q490" t="inlineStr">
        <is>
          <t>A</t>
        </is>
      </c>
      <c r="R490" t="inlineStr">
        <is>
          <t>F</t>
        </is>
      </c>
      <c r="S490" t="inlineStr">
        <is>
          <t>D</t>
        </is>
      </c>
      <c r="T490" t="inlineStr">
        <is>
          <t>E</t>
        </is>
      </c>
    </row>
    <row r="491">
      <c r="L491" t="n">
        <v>447</v>
      </c>
      <c r="M491" t="inlineStr">
        <is>
          <t>H</t>
        </is>
      </c>
      <c r="N491" t="inlineStr">
        <is>
          <t>E</t>
        </is>
      </c>
      <c r="O491" t="inlineStr">
        <is>
          <t>B</t>
        </is>
      </c>
      <c r="P491" t="inlineStr">
        <is>
          <t>C</t>
        </is>
      </c>
      <c r="Q491" t="inlineStr">
        <is>
          <t>A</t>
        </is>
      </c>
      <c r="R491" t="inlineStr">
        <is>
          <t>F</t>
        </is>
      </c>
      <c r="S491" t="inlineStr">
        <is>
          <t>D</t>
        </is>
      </c>
      <c r="T491" t="inlineStr">
        <is>
          <t>I</t>
        </is>
      </c>
    </row>
    <row r="492">
      <c r="L492" t="n">
        <v>2175</v>
      </c>
      <c r="M492" t="inlineStr">
        <is>
          <t>C</t>
        </is>
      </c>
      <c r="N492" t="inlineStr">
        <is>
          <t>G</t>
        </is>
      </c>
      <c r="O492" t="inlineStr">
        <is>
          <t>B</t>
        </is>
      </c>
      <c r="P492" t="inlineStr">
        <is>
          <t>D</t>
        </is>
      </c>
      <c r="Q492" t="inlineStr">
        <is>
          <t>A</t>
        </is>
      </c>
      <c r="R492" t="inlineStr">
        <is>
          <t>F</t>
        </is>
      </c>
      <c r="S492" t="inlineStr">
        <is>
          <t>L</t>
        </is>
      </c>
      <c r="T492" t="inlineStr">
        <is>
          <t>E</t>
        </is>
      </c>
    </row>
    <row r="493">
      <c r="L493" t="n">
        <v>1151</v>
      </c>
      <c r="M493" t="inlineStr">
        <is>
          <t>C</t>
        </is>
      </c>
      <c r="N493" t="inlineStr">
        <is>
          <t>G</t>
        </is>
      </c>
      <c r="O493" t="inlineStr">
        <is>
          <t>B</t>
        </is>
      </c>
      <c r="P493" t="inlineStr">
        <is>
          <t>D</t>
        </is>
      </c>
      <c r="Q493" t="inlineStr">
        <is>
          <t>A</t>
        </is>
      </c>
      <c r="R493" t="inlineStr">
        <is>
          <t>F</t>
        </is>
      </c>
      <c r="S493" t="inlineStr">
        <is>
          <t>E</t>
        </is>
      </c>
      <c r="T493" t="inlineStr">
        <is>
          <t>K</t>
        </is>
      </c>
    </row>
    <row r="494">
      <c r="L494" t="n">
        <v>639</v>
      </c>
      <c r="M494" t="inlineStr">
        <is>
          <t>C</t>
        </is>
      </c>
      <c r="N494" t="inlineStr">
        <is>
          <t>G</t>
        </is>
      </c>
      <c r="O494" t="inlineStr">
        <is>
          <t>B</t>
        </is>
      </c>
      <c r="P494" t="inlineStr">
        <is>
          <t>D</t>
        </is>
      </c>
      <c r="Q494" t="inlineStr">
        <is>
          <t>A</t>
        </is>
      </c>
      <c r="R494" t="inlineStr">
        <is>
          <t>F</t>
        </is>
      </c>
      <c r="S494" t="inlineStr">
        <is>
          <t>E</t>
        </is>
      </c>
      <c r="T494" t="inlineStr">
        <is>
          <t>J</t>
        </is>
      </c>
    </row>
    <row r="495">
      <c r="L495" t="n">
        <v>383</v>
      </c>
      <c r="M495" t="inlineStr">
        <is>
          <t>C</t>
        </is>
      </c>
      <c r="N495" t="inlineStr">
        <is>
          <t>G</t>
        </is>
      </c>
      <c r="O495" t="inlineStr">
        <is>
          <t>B</t>
        </is>
      </c>
      <c r="P495" t="inlineStr">
        <is>
          <t>D</t>
        </is>
      </c>
      <c r="Q495" t="inlineStr">
        <is>
          <t>A</t>
        </is>
      </c>
      <c r="R495" t="inlineStr">
        <is>
          <t>F</t>
        </is>
      </c>
      <c r="S495" t="inlineStr">
        <is>
          <t>E</t>
        </is>
      </c>
      <c r="T495" t="inlineStr">
        <is>
          <t>I</t>
        </is>
      </c>
    </row>
    <row r="496">
      <c r="L496" t="n">
        <v>255</v>
      </c>
      <c r="M496" t="inlineStr">
        <is>
          <t>H</t>
        </is>
      </c>
      <c r="N496" t="inlineStr">
        <is>
          <t>G</t>
        </is>
      </c>
      <c r="O496" t="inlineStr">
        <is>
          <t>B</t>
        </is>
      </c>
      <c r="P496" t="inlineStr">
        <is>
          <t>C</t>
        </is>
      </c>
      <c r="Q496" t="inlineStr">
        <is>
          <t>A</t>
        </is>
      </c>
      <c r="R496" t="inlineStr">
        <is>
          <t>F</t>
        </is>
      </c>
      <c r="S496" t="inlineStr">
        <is>
          <t>D</t>
        </is>
      </c>
      <c r="T496" t="inlineStr">
        <is>
          <t>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1"/>
  <sheetViews>
    <sheetView showGridLines="0" zoomScale="70"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14" customWidth="1" min="4" max="4"/>
    <col width="14" customWidth="1" min="5" max="5"/>
    <col width="5" customWidth="1" min="6" max="6"/>
    <col width="5" customWidth="1" min="7" max="7"/>
    <col width="14" customWidth="1" min="8" max="8"/>
    <col width="14" customWidth="1" min="9" max="9"/>
    <col width="5" customWidth="1" min="10" max="10"/>
    <col width="5" customWidth="1" min="11" max="11"/>
    <col width="14" customWidth="1" min="12" max="12"/>
    <col width="14" customWidth="1" min="13" max="13"/>
    <col width="5" customWidth="1" min="14" max="14"/>
    <col width="5" customWidth="1" min="15" max="15"/>
    <col width="14" customWidth="1" min="16" max="16"/>
    <col width="14" customWidth="1" min="17" max="17"/>
    <col width="5" customWidth="1" min="18" max="18"/>
    <col width="5" customWidth="1" min="19" max="19"/>
    <col width="14" customWidth="1" min="20" max="20"/>
    <col width="14" customWidth="1" min="21" max="21"/>
    <col width="5" customWidth="1" min="22" max="22"/>
    <col width="5" customWidth="1" min="23" max="23"/>
    <col width="14" customWidth="1" min="24" max="24"/>
    <col width="14" customWidth="1" min="25" max="25"/>
    <col width="5" customWidth="1" min="26" max="26"/>
    <col width="5" customWidth="1" min="27" max="27"/>
    <col width="14" customWidth="1" min="28" max="28"/>
    <col width="14" customWidth="1" min="29" max="29"/>
    <col width="5" customWidth="1" min="30" max="30"/>
    <col width="5" customWidth="1" min="31" max="31"/>
    <col width="14" customWidth="1" min="32" max="32"/>
    <col width="14" customWidth="1" min="33" max="33"/>
    <col width="5" customWidth="1" min="34" max="34"/>
    <col width="5" customWidth="1" min="35" max="35"/>
    <col width="14" customWidth="1" min="36" max="36"/>
  </cols>
  <sheetData>
    <row r="1" ht="36" customHeight="1">
      <c r="A1" s="27" t="inlineStr">
        <is>
          <t>🏆  FIFA WORLD CUP 2026  ·  KNOCKOUT BRACKET  🏆</t>
        </is>
      </c>
    </row>
    <row r="2" ht="8" customHeight="1"/>
    <row r="3" ht="14" customHeight="1">
      <c r="A3" s="28" t="inlineStr">
        <is>
          <t xml:space="preserve">  ✏️ Yellow cells = goals (90 min + ET combined)  ·  Blue-grey rows = Penalty shootout score (only if tied after ET)  ·  Best 3rd-place qualifiers are resolved automatically from group-stage results</t>
        </is>
      </c>
    </row>
    <row r="4" ht="18" customHeight="1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  <c r="AA4" s="29" t="n"/>
      <c r="AB4" s="29" t="n"/>
      <c r="AC4" s="29" t="n"/>
      <c r="AD4" s="29" t="n"/>
      <c r="AE4" s="29" t="n"/>
      <c r="AF4" s="29" t="n"/>
      <c r="AG4" s="29" t="n"/>
      <c r="AH4" s="29" t="n"/>
      <c r="AI4" s="29" t="n"/>
      <c r="AJ4" s="29" t="n"/>
    </row>
    <row r="5" ht="18" customHeight="1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  <c r="AA5" s="29" t="n"/>
      <c r="AB5" s="29" t="n"/>
      <c r="AC5" s="29" t="n"/>
      <c r="AD5" s="29" t="n"/>
      <c r="AE5" s="29" t="n"/>
      <c r="AF5" s="29" t="n"/>
      <c r="AG5" s="29" t="n"/>
      <c r="AH5" s="29" t="n"/>
      <c r="AI5" s="29" t="n"/>
      <c r="AJ5" s="29" t="n"/>
    </row>
    <row r="6" ht="26" customHeight="1">
      <c r="A6" s="30" t="inlineStr">
        <is>
          <t>ROUND OF 32
Jun 28 – Jul 3</t>
        </is>
      </c>
      <c r="E6" s="30" t="inlineStr">
        <is>
          <t>ROUND OF 16
Jul 4 – 7</t>
        </is>
      </c>
      <c r="I6" s="31" t="inlineStr">
        <is>
          <t>QUARTER-FINALS
Jul 9 – 11</t>
        </is>
      </c>
      <c r="M6" s="31" t="inlineStr">
        <is>
          <t>SEMI-FINALS
Jul 14 – 15</t>
        </is>
      </c>
      <c r="Q6" s="31" t="inlineStr">
        <is>
          <t>🏆  FINAL  🏆
Jul 19 · New York / NJ</t>
        </is>
      </c>
      <c r="U6" s="31" t="inlineStr">
        <is>
          <t>SEMI-FINALS
Jul 14 – 15</t>
        </is>
      </c>
      <c r="Y6" s="31" t="inlineStr">
        <is>
          <t>QUARTER-FINALS
Jul 9 – 11</t>
        </is>
      </c>
      <c r="AC6" s="30" t="inlineStr">
        <is>
          <t>ROUND OF 16
Jul 4 – 7</t>
        </is>
      </c>
      <c r="AG6" s="30" t="inlineStr">
        <is>
          <t>ROUND OF 32
Jun 28 – Jul 3</t>
        </is>
      </c>
    </row>
    <row r="7" ht="18" customHeight="1">
      <c r="A7" s="29" t="n"/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A7" s="29" t="n"/>
      <c r="AB7" s="29" t="n"/>
      <c r="AC7" s="29" t="n"/>
      <c r="AD7" s="29" t="n"/>
      <c r="AE7" s="29" t="n"/>
      <c r="AF7" s="29" t="n"/>
      <c r="AG7" s="29" t="n"/>
      <c r="AH7" s="29" t="n"/>
      <c r="AI7" s="29" t="n"/>
      <c r="AJ7" s="29" t="n"/>
    </row>
    <row r="8" ht="13" customHeight="1">
      <c r="A8" s="32" t="inlineStr">
        <is>
          <t>Jun 28  ·  Los Angeles</t>
        </is>
      </c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  <c r="AA8" s="29" t="n"/>
      <c r="AB8" s="29" t="n"/>
      <c r="AC8" s="29" t="n"/>
      <c r="AD8" s="29" t="n"/>
      <c r="AE8" s="29" t="n"/>
      <c r="AF8" s="29" t="n"/>
      <c r="AG8" s="32" t="inlineStr">
        <is>
          <t>Jul 1  ·  Seattle</t>
        </is>
      </c>
    </row>
    <row r="9" ht="20" customHeight="1">
      <c r="A9" s="33">
        <f>'Clasificados'!$C$4</f>
        <v/>
      </c>
      <c r="B9" s="10" t="n"/>
      <c r="C9" s="10" t="n"/>
      <c r="D9" s="34">
        <f>'Clasificados'!$C$5</f>
        <v/>
      </c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  <c r="AA9" s="29" t="n"/>
      <c r="AB9" s="29" t="n"/>
      <c r="AC9" s="29" t="n"/>
      <c r="AD9" s="29" t="n"/>
      <c r="AE9" s="29" t="n"/>
      <c r="AF9" s="29" t="n"/>
      <c r="AG9" s="33">
        <f>'Clasificados'!$B$10</f>
        <v/>
      </c>
      <c r="AH9" s="10" t="n"/>
      <c r="AI9" s="10" t="n"/>
      <c r="AJ9" s="34">
        <f>'Terceros'!$B$22</f>
        <v/>
      </c>
    </row>
    <row r="10" ht="14" customHeight="1">
      <c r="A10" s="35" t="inlineStr">
        <is>
          <t>Pen →</t>
        </is>
      </c>
      <c r="B10" s="36" t="n"/>
      <c r="C10" s="36" t="n"/>
      <c r="D10" s="37" t="inlineStr">
        <is>
          <t>← Pen</t>
        </is>
      </c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  <c r="AA10" s="29" t="n"/>
      <c r="AB10" s="29" t="n"/>
      <c r="AC10" s="29" t="n"/>
      <c r="AD10" s="29" t="n"/>
      <c r="AE10" s="29" t="n"/>
      <c r="AF10" s="29" t="n"/>
      <c r="AG10" s="35" t="inlineStr">
        <is>
          <t>Pen →</t>
        </is>
      </c>
      <c r="AH10" s="36" t="n"/>
      <c r="AI10" s="36" t="n"/>
      <c r="AJ10" s="37" t="inlineStr">
        <is>
          <t>← Pen</t>
        </is>
      </c>
    </row>
    <row r="11" ht="13" customHeight="1">
      <c r="A11" s="29" t="n"/>
      <c r="B11" s="29" t="n"/>
      <c r="C11" s="29" t="n"/>
      <c r="D11" s="29" t="n"/>
      <c r="E11" s="32" t="inlineStr">
        <is>
          <t>Jul 4  ·  Houston</t>
        </is>
      </c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32" t="inlineStr">
        <is>
          <t>Jul 6  ·  Dallas</t>
        </is>
      </c>
      <c r="AG11" s="29" t="n"/>
      <c r="AH11" s="29" t="n"/>
      <c r="AI11" s="29" t="n"/>
      <c r="AJ11" s="29" t="n"/>
    </row>
    <row r="12" ht="20" customHeight="1">
      <c r="A12" s="32" t="inlineStr">
        <is>
          <t>Jun 29  ·  Houston</t>
        </is>
      </c>
      <c r="E12" s="33">
        <f>IF(AND($B$9&lt;&gt;"",$C$9&lt;&gt;"",$A$9&lt;&gt;"",$D$9&lt;&gt;""),IF($B$9&gt;$C$9,$A$9,IF($C$9&gt;$B$9,$D$9,IF(AND($B$10&lt;&gt;"",$C$10&lt;&gt;""),IF($B$10&gt;$C$10,$A$9,IF($B$10&lt;$C$10,$D$9,"TBD")),"TBD"))),"—")</f>
        <v/>
      </c>
      <c r="F12" s="10" t="n"/>
      <c r="G12" s="10" t="n"/>
      <c r="H12" s="34">
        <f>IF(AND($B$13&lt;&gt;"",$C$13&lt;&gt;"",$A$13&lt;&gt;"",$D$13&lt;&gt;""),IF($B$13&gt;$C$13,$A$13,IF($C$13&gt;$B$13,$D$13,IF(AND($B$14&lt;&gt;"",$C$14&lt;&gt;""),IF($B$14&gt;$C$14,$A$13,IF($B$14&lt;$C$14,$D$13,"TBD")),"TBD"))),"—")</f>
        <v/>
      </c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33">
        <f>IF(AND($AH$9&lt;&gt;"",$AI$9&lt;&gt;"",$AG$9&lt;&gt;"",$AJ$9&lt;&gt;""),IF($AH$9&gt;$AI$9,$AG$9,IF($AI$9&gt;$AH$9,$AJ$9,IF(AND($AH$10&lt;&gt;"",$AI$10&lt;&gt;""),IF($AH$10&gt;$AI$10,$AG$9,IF($AH$10&lt;$AI$10,$AJ$9,"TBD")),"TBD"))),"—")</f>
        <v/>
      </c>
      <c r="AD12" s="10" t="n"/>
      <c r="AE12" s="10" t="n"/>
      <c r="AF12" s="34">
        <f>IF(AND($AH$13&lt;&gt;"",$AI$13&lt;&gt;"",$AG$13&lt;&gt;"",$AJ$13&lt;&gt;""),IF($AH$13&gt;$AI$13,$AG$13,IF($AI$13&gt;$AH$13,$AJ$13,IF(AND($AH$14&lt;&gt;"",$AI$14&lt;&gt;""),IF($AH$14&gt;$AI$14,$AG$13,IF($AH$14&lt;$AI$14,$AJ$13,"TBD")),"TBD"))),"—")</f>
        <v/>
      </c>
      <c r="AG12" s="32" t="inlineStr">
        <is>
          <t>Jul 1  ·  San Francisco</t>
        </is>
      </c>
    </row>
    <row r="13" ht="14" customHeight="1">
      <c r="A13" s="33">
        <f>'Clasificados'!$B$6</f>
        <v/>
      </c>
      <c r="B13" s="10" t="n"/>
      <c r="C13" s="10" t="n"/>
      <c r="D13" s="34">
        <f>'Clasificados'!$C$9</f>
        <v/>
      </c>
      <c r="E13" s="35" t="inlineStr">
        <is>
          <t>Pen →</t>
        </is>
      </c>
      <c r="F13" s="36" t="n"/>
      <c r="G13" s="36" t="n"/>
      <c r="H13" s="37" t="inlineStr">
        <is>
          <t>← Pen</t>
        </is>
      </c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  <c r="AA13" s="29" t="n"/>
      <c r="AB13" s="29" t="n"/>
      <c r="AC13" s="35" t="inlineStr">
        <is>
          <t>Pen →</t>
        </is>
      </c>
      <c r="AD13" s="36" t="n"/>
      <c r="AE13" s="36" t="n"/>
      <c r="AF13" s="37" t="inlineStr">
        <is>
          <t>← Pen</t>
        </is>
      </c>
      <c r="AG13" s="33">
        <f>'Clasificados'!$B$7</f>
        <v/>
      </c>
      <c r="AH13" s="10" t="n"/>
      <c r="AI13" s="10" t="n"/>
      <c r="AJ13" s="34">
        <f>'Terceros'!$B$20</f>
        <v/>
      </c>
    </row>
    <row r="14" ht="14" customHeight="1">
      <c r="A14" s="35" t="inlineStr">
        <is>
          <t>Pen →</t>
        </is>
      </c>
      <c r="B14" s="36" t="n"/>
      <c r="C14" s="36" t="n"/>
      <c r="D14" s="37" t="inlineStr">
        <is>
          <t>← Pen</t>
        </is>
      </c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35" t="inlineStr">
        <is>
          <t>Pen →</t>
        </is>
      </c>
      <c r="AH14" s="36" t="n"/>
      <c r="AI14" s="36" t="n"/>
      <c r="AJ14" s="37" t="inlineStr">
        <is>
          <t>← Pen</t>
        </is>
      </c>
    </row>
    <row r="15" ht="13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32" t="inlineStr">
        <is>
          <t>Jul 9  ·  Boston</t>
        </is>
      </c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32" t="inlineStr">
        <is>
          <t>Jul 11  ·  Miami</t>
        </is>
      </c>
      <c r="AC15" s="29" t="n"/>
      <c r="AD15" s="29" t="n"/>
      <c r="AE15" s="29" t="n"/>
      <c r="AF15" s="29" t="n"/>
      <c r="AG15" s="29" t="n"/>
      <c r="AH15" s="29" t="n"/>
      <c r="AI15" s="29" t="n"/>
      <c r="AJ15" s="29" t="n"/>
    </row>
    <row r="16" ht="20" customHeight="1">
      <c r="A16" s="32" t="inlineStr">
        <is>
          <t>Jun 29  ·  Boston</t>
        </is>
      </c>
      <c r="E16" s="29" t="n"/>
      <c r="F16" s="29" t="n"/>
      <c r="G16" s="29" t="n"/>
      <c r="H16" s="29" t="n"/>
      <c r="I16" s="33">
        <f>IF(AND($F$12&lt;&gt;"",$G$12&lt;&gt;"",$E$12&lt;&gt;"",$H$12&lt;&gt;""),IF($F$12&gt;$G$12,$E$12,IF($G$12&gt;$F$12,$H$12,IF(AND($F$13&lt;&gt;"",$G$13&lt;&gt;""),IF($F$13&gt;$G$13,$E$12,IF($F$13&lt;$G$13,$H$12,"TBD")),"TBD"))),"—")</f>
        <v/>
      </c>
      <c r="J16" s="10" t="n"/>
      <c r="K16" s="10" t="n"/>
      <c r="L16" s="34">
        <f>IF(AND($F$20&lt;&gt;"",$G$20&lt;&gt;"",$E$20&lt;&gt;"",$H$20&lt;&gt;""),IF($F$20&gt;$G$20,$E$20,IF($G$20&gt;$F$20,$H$20,IF(AND($F$21&lt;&gt;"",$G$21&lt;&gt;""),IF($F$21&gt;$G$21,$E$20,IF($F$21&lt;$G$21,$H$20,"TBD")),"TBD"))),"—")</f>
        <v/>
      </c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33">
        <f>IF(AND($AD$12&lt;&gt;"",$AE$12&lt;&gt;"",$AC$12&lt;&gt;"",$AF$12&lt;&gt;""),IF($AD$12&gt;$AE$12,$AC$12,IF($AE$12&gt;$AD$12,$AF$12,IF(AND($AD$13&lt;&gt;"",$AE$13&lt;&gt;""),IF($AD$13&gt;$AE$13,$AC$12,IF($AD$13&lt;$AE$13,$AF$12,"TBD")),"TBD"))),"—")</f>
        <v/>
      </c>
      <c r="Z16" s="10" t="n"/>
      <c r="AA16" s="10" t="n"/>
      <c r="AB16" s="34">
        <f>IF(AND($AD$20&lt;&gt;"",$AE$20&lt;&gt;"",$AC$20&lt;&gt;"",$AF$20&lt;&gt;""),IF($AD$20&gt;$AE$20,$AC$20,IF($AE$20&gt;$AD$20,$AF$20,IF(AND($AD$21&lt;&gt;"",$AE$21&lt;&gt;""),IF($AD$21&gt;$AE$21,$AC$20,IF($AD$21&lt;$AE$21,$AF$20,"TBD")),"TBD"))),"—")</f>
        <v/>
      </c>
      <c r="AC16" s="29" t="n"/>
      <c r="AD16" s="29" t="n"/>
      <c r="AE16" s="29" t="n"/>
      <c r="AF16" s="29" t="n"/>
      <c r="AG16" s="32" t="inlineStr">
        <is>
          <t>Jul 2  ·  Los Angeles</t>
        </is>
      </c>
    </row>
    <row r="17" ht="14" customHeight="1">
      <c r="A17" s="33">
        <f>'Clasificados'!$B$8</f>
        <v/>
      </c>
      <c r="B17" s="10" t="n"/>
      <c r="C17" s="10" t="n"/>
      <c r="D17" s="34">
        <f>'Terceros'!$B$21</f>
        <v/>
      </c>
      <c r="E17" s="29" t="n"/>
      <c r="F17" s="29" t="n"/>
      <c r="G17" s="29" t="n"/>
      <c r="H17" s="29" t="n"/>
      <c r="I17" s="35" t="inlineStr">
        <is>
          <t>Pen →</t>
        </is>
      </c>
      <c r="J17" s="36" t="n"/>
      <c r="K17" s="36" t="n"/>
      <c r="L17" s="37" t="inlineStr">
        <is>
          <t>← Pen</t>
        </is>
      </c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35" t="inlineStr">
        <is>
          <t>Pen →</t>
        </is>
      </c>
      <c r="Z17" s="36" t="n"/>
      <c r="AA17" s="36" t="n"/>
      <c r="AB17" s="37" t="inlineStr">
        <is>
          <t>← Pen</t>
        </is>
      </c>
      <c r="AC17" s="29" t="n"/>
      <c r="AD17" s="29" t="n"/>
      <c r="AE17" s="29" t="n"/>
      <c r="AF17" s="29" t="n"/>
      <c r="AG17" s="33">
        <f>'Clasificados'!$B$11</f>
        <v/>
      </c>
      <c r="AH17" s="10" t="n"/>
      <c r="AI17" s="10" t="n"/>
      <c r="AJ17" s="34">
        <f>'Clasificados'!$C$13</f>
        <v/>
      </c>
    </row>
    <row r="18" ht="14" customHeight="1">
      <c r="A18" s="35" t="inlineStr">
        <is>
          <t>Pen →</t>
        </is>
      </c>
      <c r="B18" s="36" t="n"/>
      <c r="C18" s="36" t="n"/>
      <c r="D18" s="37" t="inlineStr">
        <is>
          <t>← Pen</t>
        </is>
      </c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  <c r="AA18" s="29" t="n"/>
      <c r="AB18" s="29" t="n"/>
      <c r="AC18" s="29" t="n"/>
      <c r="AD18" s="29" t="n"/>
      <c r="AE18" s="29" t="n"/>
      <c r="AF18" s="29" t="n"/>
      <c r="AG18" s="35" t="inlineStr">
        <is>
          <t>Pen →</t>
        </is>
      </c>
      <c r="AH18" s="36" t="n"/>
      <c r="AI18" s="36" t="n"/>
      <c r="AJ18" s="37" t="inlineStr">
        <is>
          <t>← Pen</t>
        </is>
      </c>
    </row>
    <row r="19" ht="13" customHeight="1">
      <c r="A19" s="29" t="n"/>
      <c r="B19" s="29" t="n"/>
      <c r="C19" s="29" t="n"/>
      <c r="D19" s="29" t="n"/>
      <c r="E19" s="32" t="inlineStr">
        <is>
          <t>Jul 4  ·  Philadelphia</t>
        </is>
      </c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  <c r="AA19" s="29" t="n"/>
      <c r="AB19" s="29" t="n"/>
      <c r="AC19" s="32" t="inlineStr">
        <is>
          <t>Jul 6  ·  Seattle</t>
        </is>
      </c>
      <c r="AG19" s="29" t="n"/>
      <c r="AH19" s="29" t="n"/>
      <c r="AI19" s="29" t="n"/>
      <c r="AJ19" s="29" t="n"/>
    </row>
    <row r="20" ht="20" customHeight="1">
      <c r="A20" s="32" t="inlineStr">
        <is>
          <t>Jun 29  ·  Monterrey</t>
        </is>
      </c>
      <c r="E20" s="33">
        <f>IF(AND($B$17&lt;&gt;"",$C$17&lt;&gt;"",$A$17&lt;&gt;"",$D$17&lt;&gt;""),IF($B$17&gt;$C$17,$A$17,IF($C$17&gt;$B$17,$D$17,IF(AND($B$18&lt;&gt;"",$C$18&lt;&gt;""),IF($B$18&gt;$C$18,$A$17,IF($B$18&lt;$C$18,$D$17,"TBD")),"TBD"))),"—")</f>
        <v/>
      </c>
      <c r="F20" s="10" t="n"/>
      <c r="G20" s="10" t="n"/>
      <c r="H20" s="34">
        <f>IF(AND($B$21&lt;&gt;"",$C$21&lt;&gt;"",$A$21&lt;&gt;"",$D$21&lt;&gt;""),IF($B$21&gt;$C$21,$A$21,IF($C$21&gt;$B$21,$D$21,IF(AND($B$22&lt;&gt;"",$C$22&lt;&gt;""),IF($B$22&gt;$C$22,$A$21,IF($B$22&lt;$C$22,$D$21,"TBD")),"TBD"))),"—")</f>
        <v/>
      </c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33">
        <f>IF(AND($AH$17&lt;&gt;"",$AI$17&lt;&gt;"",$AG$17&lt;&gt;"",$AJ$17&lt;&gt;""),IF($AH$17&gt;$AI$17,$AG$17,IF($AI$17&gt;$AH$17,$AJ$17,IF(AND($AH$18&lt;&gt;"",$AI$18&lt;&gt;""),IF($AH$18&gt;$AI$18,$AG$17,IF($AH$18&lt;$AI$18,$AJ$17,"TBD")),"TBD"))),"—")</f>
        <v/>
      </c>
      <c r="AD20" s="10" t="n"/>
      <c r="AE20" s="10" t="n"/>
      <c r="AF20" s="34">
        <f>IF(AND($AH$21&lt;&gt;"",$AI$21&lt;&gt;"",$AG$21&lt;&gt;"",$AJ$21&lt;&gt;""),IF($AH$21&gt;$AI$21,$AG$21,IF($AI$21&gt;$AH$21,$AJ$21,IF(AND($AH$22&lt;&gt;"",$AI$22&lt;&gt;""),IF($AH$22&gt;$AI$22,$AG$21,IF($AH$22&lt;$AI$22,$AJ$21,"TBD")),"TBD"))),"—")</f>
        <v/>
      </c>
      <c r="AG20" s="32" t="inlineStr">
        <is>
          <t>Jul 2  ·  Toronto</t>
        </is>
      </c>
    </row>
    <row r="21" ht="14" customHeight="1">
      <c r="A21" s="33">
        <f>'Clasificados'!$B$9</f>
        <v/>
      </c>
      <c r="B21" s="10" t="n"/>
      <c r="C21" s="10" t="n"/>
      <c r="D21" s="34">
        <f>'Clasificados'!$C$6</f>
        <v/>
      </c>
      <c r="E21" s="35" t="inlineStr">
        <is>
          <t>Pen →</t>
        </is>
      </c>
      <c r="F21" s="36" t="n"/>
      <c r="G21" s="36" t="n"/>
      <c r="H21" s="37" t="inlineStr">
        <is>
          <t>← Pen</t>
        </is>
      </c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  <c r="AA21" s="29" t="n"/>
      <c r="AB21" s="29" t="n"/>
      <c r="AC21" s="35" t="inlineStr">
        <is>
          <t>Pen →</t>
        </is>
      </c>
      <c r="AD21" s="36" t="n"/>
      <c r="AE21" s="36" t="n"/>
      <c r="AF21" s="37" t="inlineStr">
        <is>
          <t>← Pen</t>
        </is>
      </c>
      <c r="AG21" s="33">
        <f>'Clasificados'!$C$14</f>
        <v/>
      </c>
      <c r="AH21" s="10" t="n"/>
      <c r="AI21" s="10" t="n"/>
      <c r="AJ21" s="34">
        <f>'Clasificados'!$C$15</f>
        <v/>
      </c>
    </row>
    <row r="22" ht="14" customHeight="1">
      <c r="A22" s="35" t="inlineStr">
        <is>
          <t>Pen →</t>
        </is>
      </c>
      <c r="B22" s="36" t="n"/>
      <c r="C22" s="36" t="n"/>
      <c r="D22" s="37" t="inlineStr">
        <is>
          <t>← Pen</t>
        </is>
      </c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  <c r="AA22" s="29" t="n"/>
      <c r="AB22" s="29" t="n"/>
      <c r="AC22" s="29" t="n"/>
      <c r="AD22" s="29" t="n"/>
      <c r="AE22" s="29" t="n"/>
      <c r="AF22" s="29" t="n"/>
      <c r="AG22" s="35" t="inlineStr">
        <is>
          <t>Pen →</t>
        </is>
      </c>
      <c r="AH22" s="36" t="n"/>
      <c r="AI22" s="36" t="n"/>
      <c r="AJ22" s="37" t="inlineStr">
        <is>
          <t>← Pen</t>
        </is>
      </c>
    </row>
    <row r="23" ht="13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32" t="inlineStr">
        <is>
          <t>Jul 14  ·  Dallas</t>
        </is>
      </c>
      <c r="Q23" s="38" t="inlineStr">
        <is>
          <t>Jul 19  ·  New York/NJ · MetLife Stadium</t>
        </is>
      </c>
      <c r="U23" s="32" t="inlineStr">
        <is>
          <t>Jul 15  ·  Atlanta</t>
        </is>
      </c>
      <c r="Y23" s="29" t="n"/>
      <c r="Z23" s="29" t="n"/>
      <c r="AA23" s="29" t="n"/>
      <c r="AB23" s="29" t="n"/>
      <c r="AC23" s="29" t="n"/>
      <c r="AD23" s="29" t="n"/>
      <c r="AE23" s="29" t="n"/>
      <c r="AF23" s="29" t="n"/>
      <c r="AG23" s="29" t="n"/>
      <c r="AH23" s="29" t="n"/>
      <c r="AI23" s="29" t="n"/>
      <c r="AJ23" s="29" t="n"/>
    </row>
    <row r="24" ht="24" customHeight="1">
      <c r="A24" s="32" t="inlineStr">
        <is>
          <t>Jun 30  ·  Dallas</t>
        </is>
      </c>
      <c r="E24" s="29" t="n"/>
      <c r="F24" s="29" t="n"/>
      <c r="G24" s="29" t="n"/>
      <c r="H24" s="29" t="n"/>
      <c r="I24" s="29" t="n"/>
      <c r="J24" s="29" t="n"/>
      <c r="K24" s="29" t="n"/>
      <c r="L24" s="29" t="n"/>
      <c r="M24" s="33">
        <f>IF(AND($J$16&lt;&gt;"",$K$16&lt;&gt;"",$I$16&lt;&gt;"",$L$16&lt;&gt;""),IF($J$16&gt;$K$16,$I$16,IF($K$16&gt;$J$16,$L$16,IF(AND($J$17&lt;&gt;"",$K$17&lt;&gt;""),IF($J$17&gt;$K$17,$I$16,IF($J$17&lt;$K$17,$L$16,"TBD")),"TBD"))),"—")</f>
        <v/>
      </c>
      <c r="N24" s="10" t="n"/>
      <c r="O24" s="10" t="n"/>
      <c r="P24" s="34">
        <f>IF(AND($J$32&lt;&gt;"",$K$32&lt;&gt;"",$I$32&lt;&gt;"",$L$32&lt;&gt;""),IF($J$32&gt;$K$32,$I$32,IF($K$32&gt;$J$32,$L$32,IF(AND($J$33&lt;&gt;"",$K$33&lt;&gt;""),IF($J$33&gt;$K$33,$I$32,IF($J$33&lt;$K$33,$L$32,"TBD")),"TBD"))),"—")</f>
        <v/>
      </c>
      <c r="Q24" s="39">
        <f>IF(AND($N$24&lt;&gt;"",$O$24&lt;&gt;"",$M$24&lt;&gt;"",$P$24&lt;&gt;""),IF($N$24&gt;$O$24,$M$24,IF($O$24&gt;$N$24,$P$24,IF(AND($N$25&lt;&gt;"",$O$25&lt;&gt;""),IF($N$25&gt;$O$25,$M$24,IF($N$25&lt;$O$25,$P$24,"TBD")),"TBD"))),"—")</f>
        <v/>
      </c>
      <c r="R24" s="40" t="n"/>
      <c r="S24" s="40" t="n"/>
      <c r="T24" s="41">
        <f>IF(AND($V$24&lt;&gt;"",$W$24&lt;&gt;"",$U$24&lt;&gt;"",$X$24&lt;&gt;""),IF($V$24&gt;$W$24,$U$24,IF($W$24&gt;$V$24,$X$24,IF(AND($V$25&lt;&gt;"",$W$25&lt;&gt;""),IF($V$25&gt;$W$25,$U$24,IF($V$25&lt;$W$25,$X$24,"TBD")),"TBD"))),"—")</f>
        <v/>
      </c>
      <c r="U24" s="33">
        <f>IF(AND($Z$16&lt;&gt;"",$AA$16&lt;&gt;"",$Y$16&lt;&gt;"",$AB$16&lt;&gt;""),IF($Z$16&gt;$AA$16,$Y$16,IF($AA$16&gt;$Z$16,$AB$16,IF(AND($Z$17&lt;&gt;"",$AA$17&lt;&gt;""),IF($Z$17&gt;$AA$17,$Y$16,IF($Z$17&lt;$AA$17,$AB$16,"TBD")),"TBD"))),"—")</f>
        <v/>
      </c>
      <c r="V24" s="10" t="n"/>
      <c r="W24" s="10" t="n"/>
      <c r="X24" s="34">
        <f>IF(AND($Z$32&lt;&gt;"",$AA$32&lt;&gt;"",$Y$32&lt;&gt;"",$AB$32&lt;&gt;""),IF($Z$32&gt;$AA$32,$Y$32,IF($AA$32&gt;$Z$32,$AB$32,IF(AND($Z$33&lt;&gt;"",$AA$33&lt;&gt;""),IF($Z$33&gt;$AA$33,$Y$32,IF($Z$33&lt;$AA$33,$AB$32,"TBD")),"TBD"))),"—")</f>
        <v/>
      </c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32" t="inlineStr">
        <is>
          <t>Jul 2  ·  Vancouver</t>
        </is>
      </c>
    </row>
    <row r="25" ht="14" customHeight="1">
      <c r="A25" s="33">
        <f>'Clasificados'!$C$8</f>
        <v/>
      </c>
      <c r="B25" s="10" t="n"/>
      <c r="C25" s="10" t="n"/>
      <c r="D25" s="34">
        <f>'Clasificados'!$C$12</f>
        <v/>
      </c>
      <c r="E25" s="29" t="n"/>
      <c r="F25" s="29" t="n"/>
      <c r="G25" s="29" t="n"/>
      <c r="H25" s="29" t="n"/>
      <c r="I25" s="29" t="n"/>
      <c r="J25" s="29" t="n"/>
      <c r="K25" s="29" t="n"/>
      <c r="L25" s="29" t="n"/>
      <c r="M25" s="35" t="inlineStr">
        <is>
          <t>Pen →</t>
        </is>
      </c>
      <c r="N25" s="36" t="n"/>
      <c r="O25" s="36" t="n"/>
      <c r="P25" s="37" t="inlineStr">
        <is>
          <t>← Pen</t>
        </is>
      </c>
      <c r="Q25" s="35" t="inlineStr">
        <is>
          <t>Pen →</t>
        </is>
      </c>
      <c r="R25" s="36" t="n"/>
      <c r="S25" s="36" t="n"/>
      <c r="T25" s="37" t="inlineStr">
        <is>
          <t>← Pen</t>
        </is>
      </c>
      <c r="U25" s="35" t="inlineStr">
        <is>
          <t>Pen →</t>
        </is>
      </c>
      <c r="V25" s="36" t="n"/>
      <c r="W25" s="36" t="n"/>
      <c r="X25" s="37" t="inlineStr">
        <is>
          <t>← Pen</t>
        </is>
      </c>
      <c r="Y25" s="29" t="n"/>
      <c r="Z25" s="29" t="n"/>
      <c r="AA25" s="29" t="n"/>
      <c r="AB25" s="29" t="n"/>
      <c r="AC25" s="29" t="n"/>
      <c r="AD25" s="29" t="n"/>
      <c r="AE25" s="29" t="n"/>
      <c r="AF25" s="29" t="n"/>
      <c r="AG25" s="33">
        <f>'Clasificados'!$B$5</f>
        <v/>
      </c>
      <c r="AH25" s="10" t="n"/>
      <c r="AI25" s="10" t="n"/>
      <c r="AJ25" s="34">
        <f>'Terceros'!$B$19</f>
        <v/>
      </c>
    </row>
    <row r="26" ht="22" customHeight="1">
      <c r="A26" s="35" t="inlineStr">
        <is>
          <t>Pen →</t>
        </is>
      </c>
      <c r="B26" s="36" t="n"/>
      <c r="C26" s="36" t="n"/>
      <c r="D26" s="37" t="inlineStr">
        <is>
          <t>← Pen</t>
        </is>
      </c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42">
        <f>IF($R$24&lt;&gt;"","🏆 "&amp;IF(AND($R$24&lt;&gt;"",$S$24&lt;&gt;"",$Q$24&lt;&gt;"",$T$24&lt;&gt;""),IF($R$24&gt;$S$24,$Q$24,IF($S$24&gt;$R$24,$T$24,IF(AND($R$25&lt;&gt;"",$S$25&lt;&gt;""),IF($R$25&gt;$S$25,$Q$24,IF($R$25&lt;$S$25,$T$24,"TBD")),"TBD"))),"—")&amp;" 🏆","🏆 WORLD CHAMPION 🏆")</f>
        <v/>
      </c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35" t="inlineStr">
        <is>
          <t>Pen →</t>
        </is>
      </c>
      <c r="AH26" s="36" t="n"/>
      <c r="AI26" s="36" t="n"/>
      <c r="AJ26" s="37" t="inlineStr">
        <is>
          <t>← Pen</t>
        </is>
      </c>
    </row>
    <row r="27" ht="13" customHeight="1">
      <c r="A27" s="29" t="n"/>
      <c r="B27" s="29" t="n"/>
      <c r="C27" s="29" t="n"/>
      <c r="D27" s="29" t="n"/>
      <c r="E27" s="32" t="inlineStr">
        <is>
          <t>Jul 5  ·  New York/NJ</t>
        </is>
      </c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  <c r="AA27" s="29" t="n"/>
      <c r="AB27" s="29" t="n"/>
      <c r="AC27" s="32" t="inlineStr">
        <is>
          <t>Jul 7  ·  Atlanta</t>
        </is>
      </c>
      <c r="AG27" s="29" t="n"/>
      <c r="AH27" s="29" t="n"/>
      <c r="AI27" s="29" t="n"/>
      <c r="AJ27" s="29" t="n"/>
    </row>
    <row r="28" ht="20" customHeight="1">
      <c r="A28" s="32" t="inlineStr">
        <is>
          <t>Jun 30  ·  New York/NJ</t>
        </is>
      </c>
      <c r="E28" s="33">
        <f>IF(AND($B$25&lt;&gt;"",$C$25&lt;&gt;"",$A$25&lt;&gt;"",$D$25&lt;&gt;""),IF($B$25&gt;$C$25,$A$25,IF($C$25&gt;$B$25,$D$25,IF(AND($B$26&lt;&gt;"",$C$26&lt;&gt;""),IF($B$26&gt;$C$26,$A$25,IF($B$26&lt;$C$26,$D$25,"TBD")),"TBD"))),"—")</f>
        <v/>
      </c>
      <c r="F28" s="10" t="n"/>
      <c r="G28" s="10" t="n"/>
      <c r="H28" s="34">
        <f>IF(AND($B$29&lt;&gt;"",$C$29&lt;&gt;"",$A$29&lt;&gt;"",$D$29&lt;&gt;""),IF($B$29&gt;$C$29,$A$29,IF($C$29&gt;$B$29,$D$29,IF(AND($B$30&lt;&gt;"",$C$30&lt;&gt;""),IF($B$30&gt;$C$30,$A$29,IF($B$30&lt;$C$30,$D$29,"TBD")),"TBD"))),"—")</f>
        <v/>
      </c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  <c r="AA28" s="29" t="n"/>
      <c r="AB28" s="29" t="n"/>
      <c r="AC28" s="33">
        <f>IF(AND($AH$25&lt;&gt;"",$AI$25&lt;&gt;"",$AG$25&lt;&gt;"",$AJ$25&lt;&gt;""),IF($AH$25&gt;$AI$25,$AG$25,IF($AI$25&gt;$AH$25,$AJ$25,IF(AND($AH$26&lt;&gt;"",$AI$26&lt;&gt;""),IF($AH$26&gt;$AI$26,$AG$25,IF($AH$26&lt;$AI$26,$AJ$25,"TBD")),"TBD"))),"—")</f>
        <v/>
      </c>
      <c r="AD28" s="10" t="n"/>
      <c r="AE28" s="10" t="n"/>
      <c r="AF28" s="34">
        <f>IF(AND($AH$29&lt;&gt;"",$AI$29&lt;&gt;"",$AG$29&lt;&gt;"",$AJ$29&lt;&gt;""),IF($AH$29&gt;$AI$29,$AG$29,IF($AI$29&gt;$AH$29,$AJ$29,IF(AND($AH$30&lt;&gt;"",$AI$30&lt;&gt;""),IF($AH$30&gt;$AI$30,$AG$29,IF($AH$30&lt;$AI$30,$AJ$29,"TBD")),"TBD"))),"—")</f>
        <v/>
      </c>
      <c r="AG28" s="32" t="inlineStr">
        <is>
          <t>Jul 3  ·  Dallas</t>
        </is>
      </c>
    </row>
    <row r="29" ht="14" customHeight="1">
      <c r="A29" s="33">
        <f>'Clasificados'!$B$12</f>
        <v/>
      </c>
      <c r="B29" s="10" t="n"/>
      <c r="C29" s="10" t="n"/>
      <c r="D29" s="34">
        <f>'Terceros'!$B$23</f>
        <v/>
      </c>
      <c r="E29" s="35" t="inlineStr">
        <is>
          <t>Pen →</t>
        </is>
      </c>
      <c r="F29" s="36" t="n"/>
      <c r="G29" s="36" t="n"/>
      <c r="H29" s="37" t="inlineStr">
        <is>
          <t>← Pen</t>
        </is>
      </c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  <c r="AA29" s="29" t="n"/>
      <c r="AB29" s="29" t="n"/>
      <c r="AC29" s="35" t="inlineStr">
        <is>
          <t>Pen →</t>
        </is>
      </c>
      <c r="AD29" s="36" t="n"/>
      <c r="AE29" s="36" t="n"/>
      <c r="AF29" s="37" t="inlineStr">
        <is>
          <t>← Pen</t>
        </is>
      </c>
      <c r="AG29" s="33">
        <f>'Clasificados'!$C$7</f>
        <v/>
      </c>
      <c r="AH29" s="10" t="n"/>
      <c r="AI29" s="10" t="n"/>
      <c r="AJ29" s="34">
        <f>'Clasificados'!$C$10</f>
        <v/>
      </c>
    </row>
    <row r="30" ht="14" customHeight="1">
      <c r="A30" s="35" t="inlineStr">
        <is>
          <t>Pen →</t>
        </is>
      </c>
      <c r="B30" s="36" t="n"/>
      <c r="C30" s="36" t="n"/>
      <c r="D30" s="37" t="inlineStr">
        <is>
          <t>← Pen</t>
        </is>
      </c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29" t="n"/>
      <c r="AF30" s="29" t="n"/>
      <c r="AG30" s="35" t="inlineStr">
        <is>
          <t>Pen →</t>
        </is>
      </c>
      <c r="AH30" s="36" t="n"/>
      <c r="AI30" s="36" t="n"/>
      <c r="AJ30" s="37" t="inlineStr">
        <is>
          <t>← Pen</t>
        </is>
      </c>
    </row>
    <row r="31" ht="13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32" t="inlineStr">
        <is>
          <t>Jul 10  ·  Los Angeles</t>
        </is>
      </c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32" t="inlineStr">
        <is>
          <t>Jul 11  ·  Kansas City</t>
        </is>
      </c>
      <c r="AC31" s="29" t="n"/>
      <c r="AD31" s="29" t="n"/>
      <c r="AE31" s="29" t="n"/>
      <c r="AF31" s="29" t="n"/>
      <c r="AG31" s="29" t="n"/>
      <c r="AH31" s="29" t="n"/>
      <c r="AI31" s="29" t="n"/>
      <c r="AJ31" s="29" t="n"/>
    </row>
    <row r="32" ht="20" customHeight="1">
      <c r="A32" s="32" t="inlineStr">
        <is>
          <t>Jun 30  ·  Mexico City</t>
        </is>
      </c>
      <c r="E32" s="29" t="n"/>
      <c r="F32" s="29" t="n"/>
      <c r="G32" s="29" t="n"/>
      <c r="H32" s="29" t="n"/>
      <c r="I32" s="33">
        <f>IF(AND($F$28&lt;&gt;"",$G$28&lt;&gt;"",$E$28&lt;&gt;"",$H$28&lt;&gt;""),IF($F$28&gt;$G$28,$E$28,IF($G$28&gt;$F$28,$H$28,IF(AND($F$29&lt;&gt;"",$G$29&lt;&gt;""),IF($F$29&gt;$G$29,$E$28,IF($F$29&lt;$G$29,$H$28,"TBD")),"TBD"))),"—")</f>
        <v/>
      </c>
      <c r="J32" s="10" t="n"/>
      <c r="K32" s="10" t="n"/>
      <c r="L32" s="34">
        <f>IF(AND($F$36&lt;&gt;"",$G$36&lt;&gt;"",$E$36&lt;&gt;"",$H$36&lt;&gt;""),IF($F$36&gt;$G$36,$E$36,IF($G$36&gt;$F$36,$H$36,IF(AND($F$37&lt;&gt;"",$G$37&lt;&gt;""),IF($F$37&gt;$G$37,$E$36,IF($F$37&lt;$G$37,$H$36,"TBD")),"TBD"))),"—")</f>
        <v/>
      </c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33">
        <f>IF(AND($AD$28&lt;&gt;"",$AE$28&lt;&gt;"",$AC$28&lt;&gt;"",$AF$28&lt;&gt;""),IF($AD$28&gt;$AE$28,$AC$28,IF($AE$28&gt;$AD$28,$AF$28,IF(AND($AD$29&lt;&gt;"",$AE$29&lt;&gt;""),IF($AD$29&gt;$AE$29,$AC$28,IF($AD$29&lt;$AE$29,$AF$28,"TBD")),"TBD"))),"—")</f>
        <v/>
      </c>
      <c r="Z32" s="10" t="n"/>
      <c r="AA32" s="10" t="n"/>
      <c r="AB32" s="34">
        <f>IF(AND($AD$36&lt;&gt;"",$AE$36&lt;&gt;"",$AC$36&lt;&gt;"",$AF$36&lt;&gt;""),IF($AD$36&gt;$AE$36,$AC$36,IF($AE$36&gt;$AD$36,$AF$36,IF(AND($AD$37&lt;&gt;"",$AE$37&lt;&gt;""),IF($AD$37&gt;$AE$37,$AC$36,IF($AD$37&lt;$AE$37,$AF$36,"TBD")),"TBD"))),"—")</f>
        <v/>
      </c>
      <c r="AC32" s="29" t="n"/>
      <c r="AD32" s="29" t="n"/>
      <c r="AE32" s="29" t="n"/>
      <c r="AF32" s="29" t="n"/>
      <c r="AG32" s="32" t="inlineStr">
        <is>
          <t>Jul 3  ·  Miami</t>
        </is>
      </c>
    </row>
    <row r="33" ht="14" customHeight="1">
      <c r="A33" s="33">
        <f>'Clasificados'!$B$4</f>
        <v/>
      </c>
      <c r="B33" s="10" t="n"/>
      <c r="C33" s="10" t="n"/>
      <c r="D33" s="34">
        <f>'Terceros'!$B$18</f>
        <v/>
      </c>
      <c r="E33" s="29" t="n"/>
      <c r="F33" s="29" t="n"/>
      <c r="G33" s="29" t="n"/>
      <c r="H33" s="29" t="n"/>
      <c r="I33" s="35" t="inlineStr">
        <is>
          <t>Pen →</t>
        </is>
      </c>
      <c r="J33" s="36" t="n"/>
      <c r="K33" s="36" t="n"/>
      <c r="L33" s="37" t="inlineStr">
        <is>
          <t>← Pen</t>
        </is>
      </c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35" t="inlineStr">
        <is>
          <t>Pen →</t>
        </is>
      </c>
      <c r="Z33" s="36" t="n"/>
      <c r="AA33" s="36" t="n"/>
      <c r="AB33" s="37" t="inlineStr">
        <is>
          <t>← Pen</t>
        </is>
      </c>
      <c r="AC33" s="29" t="n"/>
      <c r="AD33" s="29" t="n"/>
      <c r="AE33" s="29" t="n"/>
      <c r="AF33" s="29" t="n"/>
      <c r="AG33" s="33">
        <f>'Clasificados'!$B$13</f>
        <v/>
      </c>
      <c r="AH33" s="10" t="n"/>
      <c r="AI33" s="10" t="n"/>
      <c r="AJ33" s="34">
        <f>'Clasificados'!$C$11</f>
        <v/>
      </c>
    </row>
    <row r="34" ht="14" customHeight="1">
      <c r="A34" s="35" t="inlineStr">
        <is>
          <t>Pen →</t>
        </is>
      </c>
      <c r="B34" s="36" t="n"/>
      <c r="C34" s="36" t="n"/>
      <c r="D34" s="37" t="inlineStr">
        <is>
          <t>← Pen</t>
        </is>
      </c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  <c r="AA34" s="29" t="n"/>
      <c r="AB34" s="29" t="n"/>
      <c r="AC34" s="29" t="n"/>
      <c r="AD34" s="29" t="n"/>
      <c r="AE34" s="29" t="n"/>
      <c r="AF34" s="29" t="n"/>
      <c r="AG34" s="35" t="inlineStr">
        <is>
          <t>Pen →</t>
        </is>
      </c>
      <c r="AH34" s="36" t="n"/>
      <c r="AI34" s="36" t="n"/>
      <c r="AJ34" s="37" t="inlineStr">
        <is>
          <t>← Pen</t>
        </is>
      </c>
    </row>
    <row r="35" ht="13" customHeight="1">
      <c r="A35" s="29" t="n"/>
      <c r="B35" s="29" t="n"/>
      <c r="C35" s="29" t="n"/>
      <c r="D35" s="29" t="n"/>
      <c r="E35" s="32" t="inlineStr">
        <is>
          <t>Jul 5  ·  Mexico City</t>
        </is>
      </c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  <c r="AA35" s="29" t="n"/>
      <c r="AB35" s="29" t="n"/>
      <c r="AC35" s="32" t="inlineStr">
        <is>
          <t>Jul 7  ·  Vancouver</t>
        </is>
      </c>
      <c r="AG35" s="29" t="n"/>
      <c r="AH35" s="29" t="n"/>
      <c r="AI35" s="29" t="n"/>
      <c r="AJ35" s="29" t="n"/>
    </row>
    <row r="36" ht="20" customHeight="1">
      <c r="A36" s="32" t="inlineStr">
        <is>
          <t>Jul 1  ·  Atlanta</t>
        </is>
      </c>
      <c r="E36" s="33">
        <f>IF(AND($B$33&lt;&gt;"",$C$33&lt;&gt;"",$A$33&lt;&gt;"",$D$33&lt;&gt;""),IF($B$33&gt;$C$33,$A$33,IF($C$33&gt;$B$33,$D$33,IF(AND($B$34&lt;&gt;"",$C$34&lt;&gt;""),IF($B$34&gt;$C$34,$A$33,IF($B$34&lt;$C$34,$D$33,"TBD")),"TBD"))),"—")</f>
        <v/>
      </c>
      <c r="F36" s="10" t="n"/>
      <c r="G36" s="10" t="n"/>
      <c r="H36" s="34">
        <f>IF(AND($B$37&lt;&gt;"",$C$37&lt;&gt;"",$A$37&lt;&gt;"",$D$37&lt;&gt;""),IF($B$37&gt;$C$37,$A$37,IF($C$37&gt;$B$37,$D$37,IF(AND($B$38&lt;&gt;"",$C$38&lt;&gt;""),IF($B$38&gt;$C$38,$A$37,IF($B$38&lt;$C$38,$D$37,"TBD")),"TBD"))),"—")</f>
        <v/>
      </c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29" t="n"/>
      <c r="AB36" s="29" t="n"/>
      <c r="AC36" s="33">
        <f>IF(AND($AH$33&lt;&gt;"",$AI$33&lt;&gt;"",$AG$33&lt;&gt;"",$AJ$33&lt;&gt;""),IF($AH$33&gt;$AI$33,$AG$33,IF($AI$33&gt;$AH$33,$AJ$33,IF(AND($AH$34&lt;&gt;"",$AI$34&lt;&gt;""),IF($AH$34&gt;$AI$34,$AG$33,IF($AH$34&lt;$AI$34,$AJ$33,"TBD")),"TBD"))),"—")</f>
        <v/>
      </c>
      <c r="AD36" s="10" t="n"/>
      <c r="AE36" s="10" t="n"/>
      <c r="AF36" s="34">
        <f>IF(AND($AH$37&lt;&gt;"",$AI$37&lt;&gt;"",$AG$37&lt;&gt;"",$AJ$37&lt;&gt;""),IF($AH$37&gt;$AI$37,$AG$37,IF($AI$37&gt;$AH$37,$AJ$37,IF(AND($AH$38&lt;&gt;"",$AI$38&lt;&gt;""),IF($AH$38&gt;$AI$38,$AG$37,IF($AH$38&lt;$AI$38,$AJ$37,"TBD")),"TBD"))),"—")</f>
        <v/>
      </c>
      <c r="AG36" s="32" t="inlineStr">
        <is>
          <t>Jul 3  ·  Kansas City</t>
        </is>
      </c>
    </row>
    <row r="37" ht="14" customHeight="1">
      <c r="A37" s="33">
        <f>'Clasificados'!$B$15</f>
        <v/>
      </c>
      <c r="B37" s="10" t="n"/>
      <c r="C37" s="10" t="n"/>
      <c r="D37" s="34">
        <f>'Terceros'!$B$25</f>
        <v/>
      </c>
      <c r="E37" s="35" t="inlineStr">
        <is>
          <t>Pen →</t>
        </is>
      </c>
      <c r="F37" s="36" t="n"/>
      <c r="G37" s="36" t="n"/>
      <c r="H37" s="37" t="inlineStr">
        <is>
          <t>← Pen</t>
        </is>
      </c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  <c r="AA37" s="29" t="n"/>
      <c r="AB37" s="29" t="n"/>
      <c r="AC37" s="35" t="inlineStr">
        <is>
          <t>Pen →</t>
        </is>
      </c>
      <c r="AD37" s="36" t="n"/>
      <c r="AE37" s="36" t="n"/>
      <c r="AF37" s="37" t="inlineStr">
        <is>
          <t>← Pen</t>
        </is>
      </c>
      <c r="AG37" s="33">
        <f>'Clasificados'!$B$14</f>
        <v/>
      </c>
      <c r="AH37" s="10" t="n"/>
      <c r="AI37" s="10" t="n"/>
      <c r="AJ37" s="34">
        <f>'Terceros'!$B$24</f>
        <v/>
      </c>
    </row>
    <row r="38" ht="14" customHeight="1">
      <c r="A38" s="35" t="inlineStr">
        <is>
          <t>Pen →</t>
        </is>
      </c>
      <c r="B38" s="36" t="n"/>
      <c r="C38" s="36" t="n"/>
      <c r="D38" s="37" t="inlineStr">
        <is>
          <t>← Pen</t>
        </is>
      </c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  <c r="AA38" s="29" t="n"/>
      <c r="AB38" s="29" t="n"/>
      <c r="AC38" s="29" t="n"/>
      <c r="AD38" s="29" t="n"/>
      <c r="AE38" s="29" t="n"/>
      <c r="AF38" s="29" t="n"/>
      <c r="AG38" s="35" t="inlineStr">
        <is>
          <t>Pen →</t>
        </is>
      </c>
      <c r="AH38" s="36" t="n"/>
      <c r="AI38" s="36" t="n"/>
      <c r="AJ38" s="37" t="inlineStr">
        <is>
          <t>← Pen</t>
        </is>
      </c>
    </row>
    <row r="39" ht="18" customHeight="1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  <c r="AA39" s="29" t="n"/>
      <c r="AB39" s="29" t="n"/>
      <c r="AC39" s="29" t="n"/>
      <c r="AD39" s="29" t="n"/>
      <c r="AE39" s="29" t="n"/>
      <c r="AF39" s="29" t="n"/>
      <c r="AG39" s="29" t="n"/>
      <c r="AH39" s="29" t="n"/>
      <c r="AI39" s="29" t="n"/>
      <c r="AJ39" s="29" t="n"/>
    </row>
    <row r="40" ht="18" customHeight="1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  <c r="AA40" s="29" t="n"/>
      <c r="AB40" s="29" t="n"/>
      <c r="AC40" s="29" t="n"/>
      <c r="AD40" s="29" t="n"/>
      <c r="AE40" s="29" t="n"/>
      <c r="AF40" s="29" t="n"/>
      <c r="AG40" s="29" t="n"/>
      <c r="AH40" s="29" t="n"/>
      <c r="AI40" s="29" t="n"/>
      <c r="AJ40" s="29" t="n"/>
    </row>
    <row r="41" ht="18" customHeight="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  <c r="AA41" s="29" t="n"/>
      <c r="AB41" s="29" t="n"/>
      <c r="AC41" s="29" t="n"/>
      <c r="AD41" s="29" t="n"/>
      <c r="AE41" s="29" t="n"/>
      <c r="AF41" s="29" t="n"/>
      <c r="AG41" s="29" t="n"/>
      <c r="AH41" s="29" t="n"/>
      <c r="AI41" s="29" t="n"/>
      <c r="AJ41" s="29" t="n"/>
    </row>
    <row r="42" ht="14" customHeight="1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43" t="inlineStr">
        <is>
          <t>THIRD PLACE MATCH</t>
        </is>
      </c>
      <c r="U42" s="29" t="n"/>
      <c r="V42" s="29" t="n"/>
      <c r="W42" s="29" t="n"/>
      <c r="X42" s="29" t="n"/>
      <c r="Y42" s="29" t="n"/>
      <c r="Z42" s="29" t="n"/>
      <c r="AA42" s="29" t="n"/>
      <c r="AB42" s="29" t="n"/>
      <c r="AC42" s="29" t="n"/>
      <c r="AD42" s="29" t="n"/>
      <c r="AE42" s="29" t="n"/>
      <c r="AF42" s="29" t="n"/>
      <c r="AG42" s="29" t="n"/>
      <c r="AH42" s="29" t="n"/>
      <c r="AI42" s="29" t="n"/>
      <c r="AJ42" s="29" t="n"/>
    </row>
    <row r="43" ht="13" customHeight="1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2" t="inlineStr">
        <is>
          <t>Jul 18  ·  Miami</t>
        </is>
      </c>
      <c r="U43" s="29" t="n"/>
      <c r="V43" s="29" t="n"/>
      <c r="W43" s="29" t="n"/>
      <c r="X43" s="29" t="n"/>
      <c r="Y43" s="29" t="n"/>
      <c r="Z43" s="29" t="n"/>
      <c r="AA43" s="29" t="n"/>
      <c r="AB43" s="29" t="n"/>
      <c r="AC43" s="29" t="n"/>
      <c r="AD43" s="29" t="n"/>
      <c r="AE43" s="29" t="n"/>
      <c r="AF43" s="29" t="n"/>
      <c r="AG43" s="29" t="n"/>
      <c r="AH43" s="29" t="n"/>
      <c r="AI43" s="29" t="n"/>
      <c r="AJ43" s="29" t="n"/>
    </row>
    <row r="44" ht="20" customHeight="1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3">
        <f>IF(AND($N$24&lt;&gt;"",$O$24&lt;&gt;"",$M$24&lt;&gt;"",$P$24&lt;&gt;""),IF($N$24&lt;$O$24,$M$24,IF($O$24&lt;$N$24,$P$24,IF(AND($N$25&lt;&gt;"",$O$25&lt;&gt;""),IF($N$25&lt;$O$25,$M$24,IF($N$25&gt;$O$25,$P$24,"TBD")),"TBD"))),"—")</f>
        <v/>
      </c>
      <c r="R44" s="10" t="n"/>
      <c r="S44" s="10" t="n"/>
      <c r="T44" s="34">
        <f>IF(AND($V$24&lt;&gt;"",$W$24&lt;&gt;"",$U$24&lt;&gt;"",$X$24&lt;&gt;""),IF($V$24&lt;$W$24,$U$24,IF($W$24&lt;$V$24,$X$24,IF(AND($V$25&lt;&gt;"",$W$25&lt;&gt;""),IF($V$25&lt;$W$25,$U$24,IF($V$25&gt;$W$25,$X$24,"TBD")),"TBD"))),"—")</f>
        <v/>
      </c>
      <c r="U44" s="29" t="n"/>
      <c r="V44" s="29" t="n"/>
      <c r="W44" s="29" t="n"/>
      <c r="X44" s="29" t="n"/>
      <c r="Y44" s="29" t="n"/>
      <c r="Z44" s="29" t="n"/>
      <c r="AA44" s="29" t="n"/>
      <c r="AB44" s="29" t="n"/>
      <c r="AC44" s="29" t="n"/>
      <c r="AD44" s="29" t="n"/>
      <c r="AE44" s="29" t="n"/>
      <c r="AF44" s="29" t="n"/>
      <c r="AG44" s="29" t="n"/>
      <c r="AH44" s="29" t="n"/>
      <c r="AI44" s="29" t="n"/>
      <c r="AJ44" s="29" t="n"/>
    </row>
    <row r="45" ht="14" customHeight="1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5" t="inlineStr">
        <is>
          <t>Pen →</t>
        </is>
      </c>
      <c r="R45" s="36" t="n"/>
      <c r="S45" s="36" t="n"/>
      <c r="T45" s="37" t="inlineStr">
        <is>
          <t>← Pen</t>
        </is>
      </c>
      <c r="U45" s="29" t="n"/>
      <c r="V45" s="29" t="n"/>
      <c r="W45" s="29" t="n"/>
      <c r="X45" s="29" t="n"/>
      <c r="Y45" s="29" t="n"/>
      <c r="Z45" s="29" t="n"/>
      <c r="AA45" s="29" t="n"/>
      <c r="AB45" s="29" t="n"/>
      <c r="AC45" s="29" t="n"/>
      <c r="AD45" s="29" t="n"/>
      <c r="AE45" s="29" t="n"/>
      <c r="AF45" s="29" t="n"/>
      <c r="AG45" s="29" t="n"/>
      <c r="AH45" s="29" t="n"/>
      <c r="AI45" s="29" t="n"/>
      <c r="AJ45" s="29" t="n"/>
    </row>
    <row r="46" ht="18" customHeight="1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  <c r="AA46" s="29" t="n"/>
      <c r="AB46" s="29" t="n"/>
      <c r="AC46" s="29" t="n"/>
      <c r="AD46" s="29" t="n"/>
      <c r="AE46" s="29" t="n"/>
      <c r="AF46" s="29" t="n"/>
      <c r="AG46" s="29" t="n"/>
      <c r="AH46" s="29" t="n"/>
      <c r="AI46" s="29" t="n"/>
      <c r="AJ46" s="29" t="n"/>
    </row>
    <row r="47" ht="18" customHeight="1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  <c r="AA47" s="29" t="n"/>
      <c r="AB47" s="29" t="n"/>
      <c r="AC47" s="29" t="n"/>
      <c r="AD47" s="29" t="n"/>
      <c r="AE47" s="29" t="n"/>
      <c r="AF47" s="29" t="n"/>
      <c r="AG47" s="29" t="n"/>
      <c r="AH47" s="29" t="n"/>
      <c r="AI47" s="29" t="n"/>
      <c r="AJ47" s="29" t="n"/>
    </row>
    <row r="48" ht="18" customHeight="1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  <c r="AA48" s="29" t="n"/>
      <c r="AB48" s="29" t="n"/>
      <c r="AC48" s="29" t="n"/>
      <c r="AD48" s="29" t="n"/>
      <c r="AE48" s="29" t="n"/>
      <c r="AF48" s="29" t="n"/>
      <c r="AG48" s="29" t="n"/>
      <c r="AH48" s="29" t="n"/>
      <c r="AI48" s="29" t="n"/>
      <c r="AJ48" s="29" t="n"/>
    </row>
    <row r="49" ht="18" customHeight="1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  <c r="AA49" s="29" t="n"/>
      <c r="AB49" s="29" t="n"/>
      <c r="AC49" s="29" t="n"/>
      <c r="AD49" s="29" t="n"/>
      <c r="AE49" s="29" t="n"/>
      <c r="AF49" s="29" t="n"/>
      <c r="AG49" s="29" t="n"/>
      <c r="AH49" s="29" t="n"/>
      <c r="AI49" s="29" t="n"/>
      <c r="AJ49" s="29" t="n"/>
    </row>
    <row r="50" ht="18" customHeight="1">
      <c r="A50" s="29" t="n"/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  <c r="AA50" s="29" t="n"/>
      <c r="AB50" s="29" t="n"/>
      <c r="AC50" s="29" t="n"/>
      <c r="AD50" s="29" t="n"/>
      <c r="AE50" s="29" t="n"/>
      <c r="AF50" s="29" t="n"/>
      <c r="AG50" s="29" t="n"/>
      <c r="AH50" s="29" t="n"/>
      <c r="AI50" s="29" t="n"/>
      <c r="AJ50" s="29" t="n"/>
    </row>
    <row r="51" ht="18" customHeight="1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  <c r="AA51" s="29" t="n"/>
      <c r="AB51" s="29" t="n"/>
      <c r="AC51" s="29" t="n"/>
      <c r="AD51" s="29" t="n"/>
      <c r="AE51" s="29" t="n"/>
      <c r="AF51" s="29" t="n"/>
      <c r="AG51" s="29" t="n"/>
      <c r="AH51" s="29" t="n"/>
      <c r="AI51" s="29" t="n"/>
      <c r="AJ51" s="29" t="n"/>
    </row>
  </sheetData>
  <mergeCells count="45">
    <mergeCell ref="AC19:AF19"/>
    <mergeCell ref="A8:D8"/>
    <mergeCell ref="A20:D20"/>
    <mergeCell ref="AG12:AJ12"/>
    <mergeCell ref="AC6:AF6"/>
    <mergeCell ref="A28:D28"/>
    <mergeCell ref="AG24:AJ24"/>
    <mergeCell ref="Y6:AB6"/>
    <mergeCell ref="AC11:AF11"/>
    <mergeCell ref="M23:P23"/>
    <mergeCell ref="AC27:AF27"/>
    <mergeCell ref="U23:X23"/>
    <mergeCell ref="AG8:AJ8"/>
    <mergeCell ref="I31:L31"/>
    <mergeCell ref="A3:AJ3"/>
    <mergeCell ref="I6:L6"/>
    <mergeCell ref="Q43:T43"/>
    <mergeCell ref="A24:D24"/>
    <mergeCell ref="AG20:AJ20"/>
    <mergeCell ref="I15:L15"/>
    <mergeCell ref="U6:X6"/>
    <mergeCell ref="A36:D36"/>
    <mergeCell ref="Y15:AB15"/>
    <mergeCell ref="Q42:T42"/>
    <mergeCell ref="A1:AJ2"/>
    <mergeCell ref="A6:D6"/>
    <mergeCell ref="E35:H35"/>
    <mergeCell ref="AG6:AJ6"/>
    <mergeCell ref="A16:D16"/>
    <mergeCell ref="E19:H19"/>
    <mergeCell ref="Q23:T23"/>
    <mergeCell ref="AG36:AJ36"/>
    <mergeCell ref="Q26:T26"/>
    <mergeCell ref="AG32:AJ32"/>
    <mergeCell ref="A12:D12"/>
    <mergeCell ref="Y31:AB31"/>
    <mergeCell ref="E6:H6"/>
    <mergeCell ref="AC35:AF35"/>
    <mergeCell ref="M6:P6"/>
    <mergeCell ref="AG16:AJ16"/>
    <mergeCell ref="Q6:T6"/>
    <mergeCell ref="E11:H11"/>
    <mergeCell ref="E27:H27"/>
    <mergeCell ref="A32:D32"/>
    <mergeCell ref="AG28:AJ28"/>
  </mergeCells>
  <dataValidations count="128">
    <dataValidation sqref="B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1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1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1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1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1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1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1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1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2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2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2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2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3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3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3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3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3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3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3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3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1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1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1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1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1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1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1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1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2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2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2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2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3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3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3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3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3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3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3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3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F1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G1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F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G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F2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G2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F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G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F2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G2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F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G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F3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G3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F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G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D1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E1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D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E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D2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E2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D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E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D2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E2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D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E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D3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E3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D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E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J1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K1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J1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K1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J3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K3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J3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K3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Z1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A1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Z1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A1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Z3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A3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Z3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A3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N2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O2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N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O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V2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W2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V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W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R2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S2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R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S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R4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S4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R4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S4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  <col width="14" customWidth="1" min="3" max="3"/>
    <col width="50" customWidth="1" min="4" max="4"/>
  </cols>
  <sheetData>
    <row r="1" ht="28" customHeight="1">
      <c r="A1" s="18" t="inlineStr">
        <is>
          <t>📚  References / Fuentes</t>
        </is>
      </c>
    </row>
    <row r="2" ht="16" customHeight="1">
      <c r="A2" s="19" t="inlineStr">
        <is>
          <t>All data sourced from the following public references as of April 1, 2026.</t>
        </is>
      </c>
    </row>
    <row r="3" ht="18" customHeight="1">
      <c r="A3" s="20" t="inlineStr">
        <is>
          <t>Source</t>
        </is>
      </c>
      <c r="B3" s="20" t="inlineStr">
        <is>
          <t>URL</t>
        </is>
      </c>
      <c r="C3" s="20" t="inlineStr">
        <is>
          <t>Accessed</t>
        </is>
      </c>
      <c r="D3" s="20" t="inlineStr">
        <is>
          <t>Description</t>
        </is>
      </c>
    </row>
    <row r="4" ht="32" customHeight="1">
      <c r="A4" s="44" t="inlineStr">
        <is>
          <t>FIFA Official</t>
        </is>
      </c>
      <c r="B4" s="45" t="inlineStr">
        <is>
          <t>https://www.fifa.com/en/tournaments/mens/worldcup/canadamexicousa2026/articles/match-schedule-fixtures-results-teams-stadiums</t>
        </is>
      </c>
      <c r="C4" s="44" t="inlineStr">
        <is>
          <t>Apr 1, 2026</t>
        </is>
      </c>
      <c r="D4" s="46" t="inlineStr">
        <is>
          <t>Official match schedule and fixtures</t>
        </is>
      </c>
    </row>
    <row r="5" ht="32" customHeight="1">
      <c r="A5" s="47" t="inlineStr">
        <is>
          <t>FOX Sports</t>
        </is>
      </c>
      <c r="B5" s="48" t="inlineStr">
        <is>
          <t>https://www.foxsports.com/stories/soccer/2026-world-cup-schedule-all-games-dates-matchups-how-watch</t>
        </is>
      </c>
      <c r="C5" s="47" t="inlineStr">
        <is>
          <t>Apr 1, 2026</t>
        </is>
      </c>
      <c r="D5" s="49" t="inlineStr">
        <is>
          <t>Full broadcast schedule with dates, times and venues</t>
        </is>
      </c>
    </row>
    <row r="6" ht="32" customHeight="1">
      <c r="A6" s="44" t="inlineStr">
        <is>
          <t>CNN Español</t>
        </is>
      </c>
      <c r="B6" s="45" t="inlineStr">
        <is>
          <t>https://cnnespanol.cnn.com/2026/04/01/deportes/grupos-zonas-copa-mundial-2026-orix</t>
        </is>
      </c>
      <c r="C6" s="44" t="inlineStr">
        <is>
          <t>Apr 1, 2026</t>
        </is>
      </c>
      <c r="D6" s="46" t="inlineStr">
        <is>
          <t>Complete groups and match calendar (post-playoff)</t>
        </is>
      </c>
    </row>
    <row r="7" ht="32" customHeight="1">
      <c r="A7" s="47" t="inlineStr">
        <is>
          <t>Marca</t>
        </is>
      </c>
      <c r="B7" s="48" t="inlineStr">
        <is>
          <t>https://www.marca.com/futbol/mundial/2026/04/01/estan-12-grupos-completos-mundial-falta-irak-bolivia.html</t>
        </is>
      </c>
      <c r="C7" s="47" t="inlineStr">
        <is>
          <t>Apr 1, 2026</t>
        </is>
      </c>
      <c r="D7" s="49" t="inlineStr">
        <is>
          <t>12 complete groups confirmed; Iraq &amp; DR Congo qualify via inter-confederation playoff</t>
        </is>
      </c>
    </row>
    <row r="8" ht="32" customHeight="1">
      <c r="A8" s="44" t="inlineStr">
        <is>
          <t>Wikipedia – 2026 FIFA World Cup</t>
        </is>
      </c>
      <c r="B8" s="45" t="inlineStr">
        <is>
          <t>https://en.wikipedia.org/wiki/2026_FIFA_World_Cup</t>
        </is>
      </c>
      <c r="C8" s="44" t="inlineStr">
        <is>
          <t>Apr 1, 2026</t>
        </is>
      </c>
      <c r="D8" s="46" t="inlineStr">
        <is>
          <t>Tournament overview, format, host cities, qualification</t>
        </is>
      </c>
    </row>
    <row r="10" ht="36" customHeight="1">
      <c r="A10" s="50" t="inlineStr">
        <is>
          <t>Tournament format: 48 teams · 12 groups of 4 · Top 2 per group + 8 best 3rd-place finishers → Round of 32 · 104 total matches · June 11 – July 19, 2026 · Host cities: USA, Canada, Mexico</t>
        </is>
      </c>
    </row>
    <row r="12">
      <c r="A12" s="51" t="inlineStr">
        <is>
          <t>Generated by generate_quiniela.py  ·  MIT License</t>
        </is>
      </c>
    </row>
  </sheetData>
  <mergeCells count="4">
    <mergeCell ref="A1:D1"/>
    <mergeCell ref="A10:D10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2026-04-05T22:22:51Z</dcterms:created>
  <dcterms:modified xsi:type="dcterms:W3CDTF">2026-04-05T22:22:51Z</dcterms:modified>
</cp:coreProperties>
</file>