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se de Grupos" sheetId="1" state="visible" r:id="rId1"/>
    <sheet name="Clasificados" sheetId="2" state="visible" r:id="rId2"/>
    <sheet name="Bracket" sheetId="3" state="visible" r:id="rId3"/>
    <sheet name="Refer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Calibri"/>
      <b val="1"/>
      <i val="1"/>
      <color rgb="00FFFFFF"/>
      <sz val="14"/>
    </font>
    <font>
      <name val="Calibri"/>
      <b val="1"/>
      <color rgb="00FFFFFF"/>
      <sz val="9"/>
    </font>
    <font>
      <name val="Calibri"/>
      <b val="1"/>
      <sz val="9"/>
    </font>
    <font>
      <name val="Calibri"/>
      <b val="1"/>
      <sz val="10"/>
    </font>
    <font>
      <name val="Calibri"/>
      <sz val="10"/>
    </font>
    <font>
      <name val="Calibri"/>
      <sz val="9"/>
    </font>
    <font>
      <name val="Calibri"/>
      <sz val="8"/>
    </font>
    <font>
      <name val="Calibri"/>
      <b val="1"/>
      <color rgb="002F2F2F"/>
      <sz val="12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276221"/>
      <sz val="9"/>
    </font>
    <font>
      <name val="Calibri"/>
      <b val="1"/>
      <color rgb="009C5700"/>
      <sz val="9"/>
    </font>
    <font>
      <name val="Calibri"/>
      <b val="1"/>
      <color rgb="009C0006"/>
      <sz val="9"/>
    </font>
    <font>
      <name val="Calibri"/>
      <b val="1"/>
      <color rgb="002F2F2F"/>
      <sz val="9"/>
    </font>
    <font>
      <name val="Calibri"/>
      <b val="1"/>
      <color rgb="00FFFFFF"/>
      <sz val="16"/>
    </font>
    <font>
      <name val="Calibri"/>
      <i val="1"/>
      <color rgb="002F2F2F"/>
      <sz val="9"/>
    </font>
    <font>
      <name val="Calibri"/>
      <b val="1"/>
      <color rgb="00276221"/>
      <sz val="10"/>
    </font>
    <font>
      <name val="Calibri"/>
      <b val="1"/>
      <color rgb="009C5700"/>
      <sz val="10"/>
    </font>
    <font>
      <name val="Calibri"/>
      <b val="1"/>
      <color rgb="009C0006"/>
      <sz val="10"/>
    </font>
    <font>
      <name val="Calibri"/>
      <i val="1"/>
      <color rgb="009C5700"/>
      <sz val="9"/>
    </font>
    <font>
      <name val="Calibri"/>
      <b val="1"/>
      <color rgb="00F4C842"/>
      <sz val="20"/>
    </font>
    <font>
      <name val="Calibri"/>
      <i val="1"/>
      <color rgb="008EAADB"/>
      <sz val="8"/>
    </font>
    <font>
      <name val="Calibri"/>
      <b val="1"/>
      <color rgb="00F4C842"/>
      <sz val="9"/>
    </font>
    <font>
      <name val="Calibri"/>
      <i val="1"/>
      <color rgb="00607D8B"/>
      <sz val="7"/>
    </font>
    <font>
      <name val="Calibri"/>
      <i val="1"/>
      <color rgb="008EAADB"/>
      <sz val="9"/>
    </font>
    <font>
      <name val="Calibri"/>
      <b val="1"/>
      <color rgb="008EAADB"/>
      <sz val="9"/>
    </font>
    <font>
      <name val="Calibri"/>
      <i val="1"/>
      <color rgb="00F4C842"/>
      <sz val="7"/>
    </font>
    <font>
      <name val="Calibri"/>
      <b val="1"/>
      <color rgb="00F4C842"/>
      <sz val="12"/>
    </font>
    <font>
      <name val="Calibri"/>
      <b val="1"/>
      <color rgb="002F2F2F"/>
      <sz val="14"/>
    </font>
    <font>
      <name val="Calibri"/>
      <b val="1"/>
      <color rgb="00D9D9D9"/>
      <sz val="9"/>
    </font>
    <font>
      <name val="Calibri"/>
      <color rgb="002F2F2F"/>
      <sz val="9"/>
    </font>
    <font>
      <name val="Calibri"/>
      <color rgb="000563C1"/>
      <sz val="9"/>
      <u val="single"/>
    </font>
    <font>
      <name val="Calibri"/>
      <i val="1"/>
      <color rgb="00888888"/>
      <sz val="8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2F2F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3D5A80"/>
      </patternFill>
    </fill>
    <fill>
      <patternFill patternType="solid">
        <fgColor rgb="00DEEAF1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0D1B2A"/>
      </patternFill>
    </fill>
    <fill>
      <patternFill patternType="solid">
        <fgColor rgb="001A2D45"/>
      </patternFill>
    </fill>
    <fill>
      <patternFill patternType="solid">
        <fgColor rgb="00263D5A"/>
      </patternFill>
    </fill>
    <fill>
      <patternFill patternType="solid">
        <fgColor rgb="001A3A0A"/>
      </patternFill>
    </fill>
    <fill>
      <patternFill patternType="solid">
        <fgColor rgb="00F2F2F2"/>
      </patternFill>
    </fill>
    <fill>
      <patternFill patternType="solid">
        <fgColor rgb="00FFF9C4"/>
      </patternFill>
    </fill>
  </fills>
  <borders count="11">
    <border>
      <left/>
      <right/>
      <top/>
      <bottom/>
      <diagonal/>
    </border>
    <border>
      <left style="medium">
        <color rgb="00F4C842"/>
      </left>
      <right style="medium">
        <color rgb="00F4C842"/>
      </right>
      <top style="medium">
        <color rgb="00F4C842"/>
      </top>
      <bottom style="medium">
        <color rgb="00F4C842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medium">
        <color rgb="003D5A80"/>
      </bottom>
    </border>
    <border>
      <bottom style="medium">
        <color rgb="00F4C842"/>
      </bottom>
    </border>
    <border>
      <left style="medium">
        <color rgb="003D5A80"/>
      </left>
      <top style="thin">
        <color rgb="003D5A80"/>
      </top>
      <bottom style="thin">
        <color rgb="003D5A80"/>
      </bottom>
    </border>
    <border>
      <right style="medium">
        <color rgb="003D5A80"/>
      </right>
      <top style="thin">
        <color rgb="003D5A80"/>
      </top>
      <bottom style="thin">
        <color rgb="003D5A80"/>
      </bottom>
    </border>
    <border>
      <left style="thin">
        <color rgb="00607D8B"/>
      </left>
      <right style="thin">
        <color rgb="00607D8B"/>
      </right>
      <top style="thin">
        <color rgb="00607D8B"/>
      </top>
      <bottom style="thin">
        <color rgb="00607D8B"/>
      </bottom>
    </border>
    <border>
      <left style="medium">
        <color rgb="00F4C842"/>
      </left>
      <top style="medium">
        <color rgb="00F4C842"/>
      </top>
      <bottom style="medium">
        <color rgb="00F4C842"/>
      </bottom>
    </border>
    <border>
      <right style="medium">
        <color rgb="00F4C842"/>
      </right>
      <top style="medium">
        <color rgb="00F4C842"/>
      </top>
      <bottom style="medium">
        <color rgb="00F4C842"/>
      </bottom>
    </border>
    <border>
      <bottom style="thin">
        <color rgb="00D9D9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3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left" vertical="center"/>
    </xf>
    <xf numFmtId="0" fontId="13" fillId="11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left" vertical="center"/>
    </xf>
    <xf numFmtId="0" fontId="15" fillId="2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left" vertical="center" wrapText="1"/>
    </xf>
    <xf numFmtId="0" fontId="21" fillId="13" borderId="0" applyAlignment="1" pivotButton="0" quotePrefix="0" xfId="0">
      <alignment horizontal="center" vertical="center"/>
    </xf>
    <xf numFmtId="0" fontId="22" fillId="13" borderId="0" applyAlignment="1" pivotButton="0" quotePrefix="0" xfId="0">
      <alignment horizontal="left" vertical="center"/>
    </xf>
    <xf numFmtId="0" fontId="0" fillId="13" borderId="0" pivotButton="0" quotePrefix="0" xfId="0"/>
    <xf numFmtId="0" fontId="2" fillId="13" borderId="3" applyAlignment="1" pivotButton="0" quotePrefix="0" xfId="0">
      <alignment horizontal="center" vertical="center" wrapText="1"/>
    </xf>
    <xf numFmtId="0" fontId="23" fillId="2" borderId="4" applyAlignment="1" pivotButton="0" quotePrefix="0" xfId="0">
      <alignment horizontal="center" vertical="center" wrapText="1"/>
    </xf>
    <xf numFmtId="0" fontId="24" fillId="13" borderId="0" applyAlignment="1" pivotButton="0" quotePrefix="0" xfId="0">
      <alignment horizontal="center" vertical="center"/>
    </xf>
    <xf numFmtId="0" fontId="2" fillId="14" borderId="5" applyAlignment="1" pivotButton="0" quotePrefix="0" xfId="0">
      <alignment horizontal="right" vertical="center"/>
    </xf>
    <xf numFmtId="0" fontId="2" fillId="14" borderId="6" applyAlignment="1" pivotButton="0" quotePrefix="0" xfId="0">
      <alignment horizontal="left" vertical="center"/>
    </xf>
    <xf numFmtId="0" fontId="24" fillId="15" borderId="7" applyAlignment="1" pivotButton="0" quotePrefix="0" xfId="0">
      <alignment horizontal="right" vertical="center"/>
    </xf>
    <xf numFmtId="0" fontId="25" fillId="15" borderId="7" applyAlignment="1" pivotButton="0" quotePrefix="0" xfId="0">
      <alignment horizontal="center" vertical="center"/>
    </xf>
    <xf numFmtId="0" fontId="24" fillId="15" borderId="7" applyAlignment="1" pivotButton="0" quotePrefix="0" xfId="0">
      <alignment horizontal="left" vertical="center"/>
    </xf>
    <xf numFmtId="0" fontId="27" fillId="13" borderId="0" applyAlignment="1" pivotButton="0" quotePrefix="0" xfId="0">
      <alignment horizontal="center" vertical="center"/>
    </xf>
    <xf numFmtId="0" fontId="28" fillId="16" borderId="8" applyAlignment="1" pivotButton="0" quotePrefix="0" xfId="0">
      <alignment horizontal="right" vertical="center"/>
    </xf>
    <xf numFmtId="0" fontId="29" fillId="8" borderId="1" applyAlignment="1" pivotButton="0" quotePrefix="0" xfId="0">
      <alignment horizontal="center" vertical="center"/>
    </xf>
    <xf numFmtId="0" fontId="28" fillId="16" borderId="9" applyAlignment="1" pivotButton="0" quotePrefix="0" xfId="0">
      <alignment horizontal="left" vertical="center"/>
    </xf>
    <xf numFmtId="0" fontId="28" fillId="2" borderId="4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1" fillId="17" borderId="2" applyAlignment="1" pivotButton="0" quotePrefix="0" xfId="0">
      <alignment horizontal="left" vertical="center"/>
    </xf>
    <xf numFmtId="0" fontId="32" fillId="17" borderId="2" applyAlignment="1" pivotButton="0" quotePrefix="0" xfId="0">
      <alignment horizontal="left" vertical="center" wrapText="1"/>
    </xf>
    <xf numFmtId="0" fontId="31" fillId="17" borderId="2" applyAlignment="1" pivotButton="0" quotePrefix="0" xfId="0">
      <alignment horizontal="left" vertical="center" wrapText="1"/>
    </xf>
    <xf numFmtId="0" fontId="31" fillId="5" borderId="2" applyAlignment="1" pivotButton="0" quotePrefix="0" xfId="0">
      <alignment horizontal="left" vertical="center"/>
    </xf>
    <xf numFmtId="0" fontId="32" fillId="5" borderId="2" applyAlignment="1" pivotButton="0" quotePrefix="0" xfId="0">
      <alignment horizontal="left" vertical="center" wrapText="1"/>
    </xf>
    <xf numFmtId="0" fontId="31" fillId="5" borderId="2" applyAlignment="1" pivotButton="0" quotePrefix="0" xfId="0">
      <alignment horizontal="left" vertical="center" wrapText="1"/>
    </xf>
    <xf numFmtId="0" fontId="16" fillId="18" borderId="2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  <color rgb="00276221"/>
      </font>
      <fill>
        <patternFill patternType="solid">
          <fgColor rgb="00C6EFCE"/>
        </patternFill>
      </fill>
    </dxf>
    <dxf>
      <font>
        <color rgb="00276221"/>
      </font>
      <fill>
        <patternFill patternType="solid">
          <fgColor rgb="00E2EFDA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5" customWidth="1" min="4" max="4"/>
    <col width="5" customWidth="1" min="5" max="5"/>
    <col width="22" customWidth="1" min="6" max="6"/>
    <col width="20" customWidth="1" min="7" max="7"/>
    <col width="2" customWidth="1" min="8" max="8"/>
    <col width="3" customWidth="1" min="9" max="9"/>
    <col width="22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5" customWidth="1" min="17" max="17"/>
    <col width="5" customWidth="1" min="18" max="18"/>
    <col hidden="1" min="19" max="19"/>
  </cols>
  <sheetData>
    <row r="1" ht="24" customHeight="1">
      <c r="A1" s="1" t="inlineStr">
        <is>
          <t xml:space="preserve">  GROUP A  ·  ¡Salinator por Chequia! 🇨🇿</t>
        </is>
      </c>
    </row>
    <row r="2" ht="16" customHeight="1">
      <c r="I2" s="2" t="inlineStr">
        <is>
          <t>#</t>
        </is>
      </c>
      <c r="J2" s="2" t="inlineStr">
        <is>
          <t>Team</t>
        </is>
      </c>
      <c r="K2" s="2" t="inlineStr">
        <is>
          <t>GP</t>
        </is>
      </c>
      <c r="L2" s="2" t="inlineStr">
        <is>
          <t>W</t>
        </is>
      </c>
      <c r="M2" s="2" t="inlineStr">
        <is>
          <t>D</t>
        </is>
      </c>
      <c r="N2" s="2" t="inlineStr">
        <is>
          <t>L</t>
        </is>
      </c>
      <c r="O2" s="2" t="inlineStr">
        <is>
          <t>GF</t>
        </is>
      </c>
      <c r="P2" s="2" t="inlineStr">
        <is>
          <t>GA</t>
        </is>
      </c>
      <c r="Q2" s="2" t="inlineStr">
        <is>
          <t>GD</t>
        </is>
      </c>
      <c r="R2" s="2" t="inlineStr">
        <is>
          <t>Pts</t>
        </is>
      </c>
    </row>
    <row r="3" ht="17" customHeight="1">
      <c r="I3" s="3" t="inlineStr"/>
      <c r="J3" s="4" t="inlineStr">
        <is>
          <t>Mexico</t>
        </is>
      </c>
      <c r="K3" s="5">
        <f>IF(AND(D9&lt;&gt;"",E9&lt;&gt;""),1,0)+IF(AND(D12&lt;&gt;"",E12&lt;&gt;""),1,0)+IF(AND(D13&lt;&gt;"",E13&lt;&gt;""),1,0)</f>
        <v/>
      </c>
      <c r="L3" s="5">
        <f>IF(AND(D9&lt;&gt;"",E9&lt;&gt;"",D9&gt;E9),1,0)+IF(AND(D12&lt;&gt;"",E12&lt;&gt;"",D12&gt;E12),1,0)+IF(AND(D13&lt;&gt;"",E13&lt;&gt;"",E13&gt;D13),1,0)</f>
        <v/>
      </c>
      <c r="M3" s="5">
        <f>IF(AND(D9&lt;&gt;"",E9&lt;&gt;"",D9=E9),1,0)+IF(AND(D12&lt;&gt;"",E12&lt;&gt;"",D12=E12),1,0)+IF(AND(D13&lt;&gt;"",E13&lt;&gt;"",D13=E13),1,0)</f>
        <v/>
      </c>
      <c r="N3" s="5">
        <f>IF(AND(D9&lt;&gt;"",E9&lt;&gt;"",D9&lt;E9),1,0)+IF(AND(D12&lt;&gt;"",E12&lt;&gt;"",D12&lt;E12),1,0)+IF(AND(D13&lt;&gt;"",E13&lt;&gt;"",E13&lt;D13),1,0)</f>
        <v/>
      </c>
      <c r="O3" s="5">
        <f>IF(AND(D9&lt;&gt;"",E9&lt;&gt;""),D9,0)+IF(AND(D12&lt;&gt;"",E12&lt;&gt;""),D12,0)+IF(AND(D13&lt;&gt;"",E13&lt;&gt;""),E13,0)</f>
        <v/>
      </c>
      <c r="P3" s="5">
        <f>IF(AND(D9&lt;&gt;"",E9&lt;&gt;""),E9,0)+IF(AND(D12&lt;&gt;"",E12&lt;&gt;""),E12,0)+IF(AND(D13&lt;&gt;"",E13&lt;&gt;""),D13,0)</f>
        <v/>
      </c>
      <c r="Q3" s="5">
        <f>O3-P3</f>
        <v/>
      </c>
      <c r="R3" s="5">
        <f>3*L3+M3</f>
        <v/>
      </c>
      <c r="S3">
        <f>R3*10000000+(Q3+99)*100000+O3*100+4</f>
        <v/>
      </c>
    </row>
    <row r="4" ht="17" customHeight="1">
      <c r="I4" s="3" t="inlineStr"/>
      <c r="J4" s="4" t="inlineStr">
        <is>
          <t>South Korea</t>
        </is>
      </c>
      <c r="K4" s="5">
        <f>IF(AND(D10&lt;&gt;"",E10&lt;&gt;""),1,0)+IF(AND(D12&lt;&gt;"",E12&lt;&gt;""),1,0)+IF(AND(D14&lt;&gt;"",E14&lt;&gt;""),1,0)</f>
        <v/>
      </c>
      <c r="L4" s="5">
        <f>IF(AND(D10&lt;&gt;"",E10&lt;&gt;"",D10&gt;E10),1,0)+IF(AND(D12&lt;&gt;"",E12&lt;&gt;"",E12&gt;D12),1,0)+IF(AND(D14&lt;&gt;"",E14&lt;&gt;"",E14&gt;D14),1,0)</f>
        <v/>
      </c>
      <c r="M4" s="5">
        <f>IF(AND(D10&lt;&gt;"",E10&lt;&gt;"",D10=E10),1,0)+IF(AND(D12&lt;&gt;"",E12&lt;&gt;"",D12=E12),1,0)+IF(AND(D14&lt;&gt;"",E14&lt;&gt;"",D14=E14),1,0)</f>
        <v/>
      </c>
      <c r="N4" s="5">
        <f>IF(AND(D10&lt;&gt;"",E10&lt;&gt;"",D10&lt;E10),1,0)+IF(AND(D12&lt;&gt;"",E12&lt;&gt;"",E12&lt;D12),1,0)+IF(AND(D14&lt;&gt;"",E14&lt;&gt;"",E14&lt;D14),1,0)</f>
        <v/>
      </c>
      <c r="O4" s="5">
        <f>IF(AND(D10&lt;&gt;"",E10&lt;&gt;""),D10,0)+IF(AND(D12&lt;&gt;"",E12&lt;&gt;""),E12,0)+IF(AND(D14&lt;&gt;"",E14&lt;&gt;""),E14,0)</f>
        <v/>
      </c>
      <c r="P4" s="5">
        <f>IF(AND(D10&lt;&gt;"",E10&lt;&gt;""),E10,0)+IF(AND(D12&lt;&gt;"",E12&lt;&gt;""),D12,0)+IF(AND(D14&lt;&gt;"",E14&lt;&gt;""),D14,0)</f>
        <v/>
      </c>
      <c r="Q4" s="5">
        <f>O4-P4</f>
        <v/>
      </c>
      <c r="R4" s="5">
        <f>3*L4+M4</f>
        <v/>
      </c>
      <c r="S4">
        <f>R4*10000000+(Q4+99)*100000+O4*100+3</f>
        <v/>
      </c>
    </row>
    <row r="5" ht="17" customHeight="1">
      <c r="I5" s="3" t="inlineStr"/>
      <c r="J5" s="4" t="inlineStr">
        <is>
          <t>South Africa</t>
        </is>
      </c>
      <c r="K5" s="5">
        <f>IF(AND(D14&lt;&gt;"",E14&lt;&gt;""),1,0)+IF(AND(D9&lt;&gt;"",E9&lt;&gt;""),1,0)+IF(AND(D11&lt;&gt;"",E11&lt;&gt;""),1,0)</f>
        <v/>
      </c>
      <c r="L5" s="5">
        <f>IF(AND(D14&lt;&gt;"",E14&lt;&gt;"",D14&gt;E14),1,0)+IF(AND(D9&lt;&gt;"",E9&lt;&gt;"",E9&gt;D9),1,0)+IF(AND(D11&lt;&gt;"",E11&lt;&gt;"",E11&gt;D11),1,0)</f>
        <v/>
      </c>
      <c r="M5" s="5">
        <f>IF(AND(D14&lt;&gt;"",E14&lt;&gt;"",D14=E14),1,0)+IF(AND(D9&lt;&gt;"",E9&lt;&gt;"",D9=E9),1,0)+IF(AND(D11&lt;&gt;"",E11&lt;&gt;"",D11=E11),1,0)</f>
        <v/>
      </c>
      <c r="N5" s="5">
        <f>IF(AND(D14&lt;&gt;"",E14&lt;&gt;"",D14&lt;E14),1,0)+IF(AND(D9&lt;&gt;"",E9&lt;&gt;"",E9&lt;D9),1,0)+IF(AND(D11&lt;&gt;"",E11&lt;&gt;"",E11&lt;D11),1,0)</f>
        <v/>
      </c>
      <c r="O5" s="5">
        <f>IF(AND(D14&lt;&gt;"",E14&lt;&gt;""),D14,0)+IF(AND(D9&lt;&gt;"",E9&lt;&gt;""),E9,0)+IF(AND(D11&lt;&gt;"",E11&lt;&gt;""),E11,0)</f>
        <v/>
      </c>
      <c r="P5" s="5">
        <f>IF(AND(D14&lt;&gt;"",E14&lt;&gt;""),E14,0)+IF(AND(D9&lt;&gt;"",E9&lt;&gt;""),D9,0)+IF(AND(D11&lt;&gt;"",E11&lt;&gt;""),D11,0)</f>
        <v/>
      </c>
      <c r="Q5" s="5">
        <f>O5-P5</f>
        <v/>
      </c>
      <c r="R5" s="5">
        <f>3*L5+M5</f>
        <v/>
      </c>
      <c r="S5">
        <f>R5*10000000+(Q5+99)*100000+O5*100+2</f>
        <v/>
      </c>
    </row>
    <row r="6" ht="17" customHeight="1">
      <c r="I6" s="3" t="inlineStr"/>
      <c r="J6" s="4" t="inlineStr">
        <is>
          <t>Czech Republic</t>
        </is>
      </c>
      <c r="K6" s="5">
        <f>IF(AND(D11&lt;&gt;"",E11&lt;&gt;""),1,0)+IF(AND(D13&lt;&gt;"",E13&lt;&gt;""),1,0)+IF(AND(D10&lt;&gt;"",E10&lt;&gt;""),1,0)</f>
        <v/>
      </c>
      <c r="L6" s="5">
        <f>IF(AND(D11&lt;&gt;"",E11&lt;&gt;"",D11&gt;E11),1,0)+IF(AND(D13&lt;&gt;"",E13&lt;&gt;"",D13&gt;E13),1,0)+IF(AND(D10&lt;&gt;"",E10&lt;&gt;"",E10&gt;D10),1,0)</f>
        <v/>
      </c>
      <c r="M6" s="5">
        <f>IF(AND(D11&lt;&gt;"",E11&lt;&gt;"",D11=E11),1,0)+IF(AND(D13&lt;&gt;"",E13&lt;&gt;"",D13=E13),1,0)+IF(AND(D10&lt;&gt;"",E10&lt;&gt;"",D10=E10),1,0)</f>
        <v/>
      </c>
      <c r="N6" s="5">
        <f>IF(AND(D11&lt;&gt;"",E11&lt;&gt;"",D11&lt;E11),1,0)+IF(AND(D13&lt;&gt;"",E13&lt;&gt;"",D13&lt;E13),1,0)+IF(AND(D10&lt;&gt;"",E10&lt;&gt;"",E10&lt;D10),1,0)</f>
        <v/>
      </c>
      <c r="O6" s="5">
        <f>IF(AND(D11&lt;&gt;"",E11&lt;&gt;""),D11,0)+IF(AND(D13&lt;&gt;"",E13&lt;&gt;""),D13,0)+IF(AND(D10&lt;&gt;"",E10&lt;&gt;""),E10,0)</f>
        <v/>
      </c>
      <c r="P6" s="5">
        <f>IF(AND(D11&lt;&gt;"",E11&lt;&gt;""),E11,0)+IF(AND(D13&lt;&gt;"",E13&lt;&gt;""),E13,0)+IF(AND(D10&lt;&gt;"",E10&lt;&gt;""),D10,0)</f>
        <v/>
      </c>
      <c r="Q6" s="5">
        <f>O6-P6</f>
        <v/>
      </c>
      <c r="R6" s="5">
        <f>3*L6+M6</f>
        <v/>
      </c>
      <c r="S6">
        <f>R6*10000000+(Q6+99)*100000+O6*100+1</f>
        <v/>
      </c>
    </row>
    <row r="7"/>
    <row r="8" ht="16" customHeight="1">
      <c r="A8" s="6" t="inlineStr">
        <is>
          <t>MD</t>
        </is>
      </c>
      <c r="B8" s="6" t="inlineStr">
        <is>
          <t>Date / Time (ET)</t>
        </is>
      </c>
      <c r="C8" s="6" t="inlineStr">
        <is>
          <t>Home Team</t>
        </is>
      </c>
      <c r="D8" s="6" t="inlineStr">
        <is>
          <t>G</t>
        </is>
      </c>
      <c r="E8" s="6" t="inlineStr">
        <is>
          <t>G</t>
        </is>
      </c>
      <c r="F8" s="6" t="inlineStr">
        <is>
          <t>Away Team</t>
        </is>
      </c>
      <c r="G8" s="6" t="inlineStr">
        <is>
          <t>Venue</t>
        </is>
      </c>
    </row>
    <row r="9" ht="20" customHeight="1">
      <c r="A9" s="7" t="n">
        <v>1</v>
      </c>
      <c r="B9" s="8" t="inlineStr">
        <is>
          <t>Jun 11 · 3 pm ET</t>
        </is>
      </c>
      <c r="C9" s="9" t="inlineStr">
        <is>
          <t>Mexico</t>
        </is>
      </c>
      <c r="D9" s="10">
        <f>RANDBETWEEN(0,4)</f>
        <v/>
      </c>
      <c r="E9" s="10">
        <f>RANDBETWEEN(0,4)</f>
        <v/>
      </c>
      <c r="F9" s="9" t="inlineStr">
        <is>
          <t>South Africa</t>
        </is>
      </c>
      <c r="G9" s="11" t="inlineStr">
        <is>
          <t>Mexico City</t>
        </is>
      </c>
    </row>
    <row r="10" ht="20" customHeight="1">
      <c r="A10" s="7" t="n">
        <v>1</v>
      </c>
      <c r="B10" s="8" t="inlineStr">
        <is>
          <t>Jun 11 · 10 pm ET</t>
        </is>
      </c>
      <c r="C10" s="9" t="inlineStr">
        <is>
          <t>South Korea</t>
        </is>
      </c>
      <c r="D10" s="10">
        <f>RANDBETWEEN(0,4)</f>
        <v/>
      </c>
      <c r="E10" s="10">
        <f>RANDBETWEEN(0,4)</f>
        <v/>
      </c>
      <c r="F10" s="9" t="inlineStr">
        <is>
          <t>Czech Republic</t>
        </is>
      </c>
      <c r="G10" s="11" t="inlineStr">
        <is>
          <t>Guadalajara</t>
        </is>
      </c>
    </row>
    <row r="11" ht="20" customHeight="1">
      <c r="A11" s="7" t="n">
        <v>2</v>
      </c>
      <c r="B11" s="8" t="inlineStr">
        <is>
          <t>Jun 18 · 12 pm ET</t>
        </is>
      </c>
      <c r="C11" s="9" t="inlineStr">
        <is>
          <t>Czech Republic</t>
        </is>
      </c>
      <c r="D11" s="10">
        <f>RANDBETWEEN(0,4)</f>
        <v/>
      </c>
      <c r="E11" s="10">
        <f>RANDBETWEEN(0,4)</f>
        <v/>
      </c>
      <c r="F11" s="9" t="inlineStr">
        <is>
          <t>South Africa</t>
        </is>
      </c>
      <c r="G11" s="11" t="inlineStr">
        <is>
          <t>Atlanta</t>
        </is>
      </c>
    </row>
    <row r="12" ht="20" customHeight="1">
      <c r="A12" s="7" t="n">
        <v>2</v>
      </c>
      <c r="B12" s="8" t="inlineStr">
        <is>
          <t>Jun 18 · 9 pm ET</t>
        </is>
      </c>
      <c r="C12" s="9" t="inlineStr">
        <is>
          <t>Mexico</t>
        </is>
      </c>
      <c r="D12" s="10">
        <f>RANDBETWEEN(0,4)</f>
        <v/>
      </c>
      <c r="E12" s="10">
        <f>RANDBETWEEN(0,4)</f>
        <v/>
      </c>
      <c r="F12" s="9" t="inlineStr">
        <is>
          <t>South Korea</t>
        </is>
      </c>
      <c r="G12" s="11" t="inlineStr">
        <is>
          <t>Guadalajara</t>
        </is>
      </c>
    </row>
    <row r="13" ht="20" customHeight="1">
      <c r="A13" s="7" t="n">
        <v>3</v>
      </c>
      <c r="B13" s="8" t="inlineStr">
        <is>
          <t>Jun 24 · 9 pm ET</t>
        </is>
      </c>
      <c r="C13" s="9" t="inlineStr">
        <is>
          <t>Czech Republic</t>
        </is>
      </c>
      <c r="D13" s="10">
        <f>RANDBETWEEN(0,4)</f>
        <v/>
      </c>
      <c r="E13" s="10">
        <f>RANDBETWEEN(0,4)</f>
        <v/>
      </c>
      <c r="F13" s="9" t="inlineStr">
        <is>
          <t>Mexico</t>
        </is>
      </c>
      <c r="G13" s="11" t="inlineStr">
        <is>
          <t>Mexico City</t>
        </is>
      </c>
    </row>
    <row r="14" ht="20" customHeight="1">
      <c r="A14" s="7" t="n">
        <v>3</v>
      </c>
      <c r="B14" s="8" t="inlineStr">
        <is>
          <t>Jun 24 · 9 pm ET</t>
        </is>
      </c>
      <c r="C14" s="9" t="inlineStr">
        <is>
          <t>South Africa</t>
        </is>
      </c>
      <c r="D14" s="10">
        <f>RANDBETWEEN(0,4)</f>
        <v/>
      </c>
      <c r="E14" s="10">
        <f>RANDBETWEEN(0,4)</f>
        <v/>
      </c>
      <c r="F14" s="9" t="inlineStr">
        <is>
          <t>South Korea</t>
        </is>
      </c>
      <c r="G14" s="11" t="inlineStr">
        <is>
          <t>Monterrey</t>
        </is>
      </c>
    </row>
    <row r="15"/>
    <row r="16"/>
    <row r="17" ht="24" customHeight="1">
      <c r="A17" s="12" t="inlineStr">
        <is>
          <t xml:space="preserve">  GROUP B</t>
        </is>
      </c>
    </row>
    <row r="18" ht="16" customHeight="1">
      <c r="I18" s="2" t="inlineStr">
        <is>
          <t>#</t>
        </is>
      </c>
      <c r="J18" s="2" t="inlineStr">
        <is>
          <t>Team</t>
        </is>
      </c>
      <c r="K18" s="2" t="inlineStr">
        <is>
          <t>GP</t>
        </is>
      </c>
      <c r="L18" s="2" t="inlineStr">
        <is>
          <t>W</t>
        </is>
      </c>
      <c r="M18" s="2" t="inlineStr">
        <is>
          <t>D</t>
        </is>
      </c>
      <c r="N18" s="2" t="inlineStr">
        <is>
          <t>L</t>
        </is>
      </c>
      <c r="O18" s="2" t="inlineStr">
        <is>
          <t>GF</t>
        </is>
      </c>
      <c r="P18" s="2" t="inlineStr">
        <is>
          <t>GA</t>
        </is>
      </c>
      <c r="Q18" s="2" t="inlineStr">
        <is>
          <t>GD</t>
        </is>
      </c>
      <c r="R18" s="2" t="inlineStr">
        <is>
          <t>Pts</t>
        </is>
      </c>
    </row>
    <row r="19" ht="17" customHeight="1">
      <c r="I19" s="3" t="inlineStr"/>
      <c r="J19" s="4" t="inlineStr">
        <is>
          <t>Canada</t>
        </is>
      </c>
      <c r="K19" s="5">
        <f>IF(AND(D25&lt;&gt;"",E25&lt;&gt;""),1,0)+IF(AND(D28&lt;&gt;"",E28&lt;&gt;""),1,0)+IF(AND(D29&lt;&gt;"",E29&lt;&gt;""),1,0)</f>
        <v/>
      </c>
      <c r="L19" s="5">
        <f>IF(AND(D25&lt;&gt;"",E25&lt;&gt;"",D25&gt;E25),1,0)+IF(AND(D28&lt;&gt;"",E28&lt;&gt;"",D28&gt;E28),1,0)+IF(AND(D29&lt;&gt;"",E29&lt;&gt;"",D29&gt;E29),1,0)</f>
        <v/>
      </c>
      <c r="M19" s="5">
        <f>IF(AND(D25&lt;&gt;"",E25&lt;&gt;"",D25=E25),1,0)+IF(AND(D28&lt;&gt;"",E28&lt;&gt;"",D28=E28),1,0)+IF(AND(D29&lt;&gt;"",E29&lt;&gt;"",D29=E29),1,0)</f>
        <v/>
      </c>
      <c r="N19" s="5">
        <f>IF(AND(D25&lt;&gt;"",E25&lt;&gt;"",D25&lt;E25),1,0)+IF(AND(D28&lt;&gt;"",E28&lt;&gt;"",D28&lt;E28),1,0)+IF(AND(D29&lt;&gt;"",E29&lt;&gt;"",D29&lt;E29),1,0)</f>
        <v/>
      </c>
      <c r="O19" s="5">
        <f>IF(AND(D25&lt;&gt;"",E25&lt;&gt;""),D25,0)+IF(AND(D28&lt;&gt;"",E28&lt;&gt;""),D28,0)+IF(AND(D29&lt;&gt;"",E29&lt;&gt;""),D29,0)+0</f>
        <v/>
      </c>
      <c r="P19" s="5">
        <f>IF(AND(D25&lt;&gt;"",E25&lt;&gt;""),E25,0)+IF(AND(D28&lt;&gt;"",E28&lt;&gt;""),E28,0)+IF(AND(D29&lt;&gt;"",E29&lt;&gt;""),E29,0)+0</f>
        <v/>
      </c>
      <c r="Q19" s="5">
        <f>O19-P19</f>
        <v/>
      </c>
      <c r="R19" s="5">
        <f>3*L19+M19</f>
        <v/>
      </c>
      <c r="S19">
        <f>R19*10000000+(Q19+99)*100000+O19*100+4</f>
        <v/>
      </c>
    </row>
    <row r="20" ht="17" customHeight="1">
      <c r="I20" s="3" t="inlineStr"/>
      <c r="J20" s="4" t="inlineStr">
        <is>
          <t>Switzerland</t>
        </is>
      </c>
      <c r="K20" s="5">
        <f>IF(AND(D27&lt;&gt;"",E27&lt;&gt;""),1,0)+IF(AND(D26&lt;&gt;"",E26&lt;&gt;""),1,0)+IF(AND(D29&lt;&gt;"",E29&lt;&gt;""),1,0)</f>
        <v/>
      </c>
      <c r="L20" s="5">
        <f>IF(AND(D27&lt;&gt;"",E27&lt;&gt;"",D27&gt;E27),1,0)+IF(AND(D26&lt;&gt;"",E26&lt;&gt;"",E26&gt;D26),1,0)+IF(AND(D29&lt;&gt;"",E29&lt;&gt;"",E29&gt;D29),1,0)</f>
        <v/>
      </c>
      <c r="M20" s="5">
        <f>IF(AND(D27&lt;&gt;"",E27&lt;&gt;"",D27=E27),1,0)+IF(AND(D26&lt;&gt;"",E26&lt;&gt;"",D26=E26),1,0)+IF(AND(D29&lt;&gt;"",E29&lt;&gt;"",D29=E29),1,0)</f>
        <v/>
      </c>
      <c r="N20" s="5">
        <f>IF(AND(D27&lt;&gt;"",E27&lt;&gt;"",D27&lt;E27),1,0)+IF(AND(D26&lt;&gt;"",E26&lt;&gt;"",E26&lt;D26),1,0)+IF(AND(D29&lt;&gt;"",E29&lt;&gt;"",E29&lt;D29),1,0)</f>
        <v/>
      </c>
      <c r="O20" s="5">
        <f>IF(AND(D27&lt;&gt;"",E27&lt;&gt;""),D27,0)+IF(AND(D26&lt;&gt;"",E26&lt;&gt;""),E26,0)+IF(AND(D29&lt;&gt;"",E29&lt;&gt;""),E29,0)</f>
        <v/>
      </c>
      <c r="P20" s="5">
        <f>IF(AND(D27&lt;&gt;"",E27&lt;&gt;""),E27,0)+IF(AND(D26&lt;&gt;"",E26&lt;&gt;""),D26,0)+IF(AND(D29&lt;&gt;"",E29&lt;&gt;""),D29,0)</f>
        <v/>
      </c>
      <c r="Q20" s="5">
        <f>O20-P20</f>
        <v/>
      </c>
      <c r="R20" s="5">
        <f>3*L20+M20</f>
        <v/>
      </c>
      <c r="S20">
        <f>R20*10000000+(Q20+99)*100000+O20*100+3</f>
        <v/>
      </c>
    </row>
    <row r="21" ht="17" customHeight="1">
      <c r="I21" s="3" t="inlineStr"/>
      <c r="J21" s="4" t="inlineStr">
        <is>
          <t>Qatar</t>
        </is>
      </c>
      <c r="K21" s="5">
        <f>IF(AND(D26&lt;&gt;"",E26&lt;&gt;""),1,0)+IF(AND(D28&lt;&gt;"",E28&lt;&gt;""),1,0)+IF(AND(D30&lt;&gt;"",E30&lt;&gt;""),1,0)</f>
        <v/>
      </c>
      <c r="L21" s="5">
        <f>IF(AND(D26&lt;&gt;"",E26&lt;&gt;"",D26&gt;E26),1,0)+IF(AND(D28&lt;&gt;"",E28&lt;&gt;"",E28&gt;D28),1,0)+IF(AND(D30&lt;&gt;"",E30&lt;&gt;"",E30&gt;D30),1,0)</f>
        <v/>
      </c>
      <c r="M21" s="5">
        <f>IF(AND(D26&lt;&gt;"",E26&lt;&gt;"",D26=E26),1,0)+IF(AND(D28&lt;&gt;"",E28&lt;&gt;"",D28=E28),1,0)+IF(AND(D30&lt;&gt;"",E30&lt;&gt;"",D30=E30),1,0)</f>
        <v/>
      </c>
      <c r="N21" s="5">
        <f>IF(AND(D26&lt;&gt;"",E26&lt;&gt;"",D26&lt;E26),1,0)+IF(AND(D28&lt;&gt;"",E28&lt;&gt;"",E28&lt;D28),1,0)+IF(AND(D30&lt;&gt;"",E30&lt;&gt;"",E30&lt;D30),1,0)</f>
        <v/>
      </c>
      <c r="O21" s="5">
        <f>IF(AND(D26&lt;&gt;"",E26&lt;&gt;""),D26,0)+IF(AND(D28&lt;&gt;"",E28&lt;&gt;""),E28,0)+IF(AND(D30&lt;&gt;"",E30&lt;&gt;""),E30,0)</f>
        <v/>
      </c>
      <c r="P21" s="5">
        <f>IF(AND(D26&lt;&gt;"",E26&lt;&gt;""),E26,0)+IF(AND(D28&lt;&gt;"",E28&lt;&gt;""),D28,0)+IF(AND(D30&lt;&gt;"",E30&lt;&gt;""),D30,0)</f>
        <v/>
      </c>
      <c r="Q21" s="5">
        <f>O21-P21</f>
        <v/>
      </c>
      <c r="R21" s="5">
        <f>3*L21+M21</f>
        <v/>
      </c>
      <c r="S21">
        <f>R21*10000000+(Q21+99)*100000+O21*100+2</f>
        <v/>
      </c>
    </row>
    <row r="22" ht="17" customHeight="1">
      <c r="I22" s="3" t="inlineStr"/>
      <c r="J22" s="4" t="inlineStr">
        <is>
          <t>Bosnia &amp; Herzegovina</t>
        </is>
      </c>
      <c r="K22" s="5">
        <f>IF(AND(D30&lt;&gt;"",E30&lt;&gt;""),1,0)+IF(AND(D25&lt;&gt;"",E25&lt;&gt;""),1,0)+IF(AND(D27&lt;&gt;"",E27&lt;&gt;""),1,0)</f>
        <v/>
      </c>
      <c r="L22" s="5">
        <f>IF(AND(D30&lt;&gt;"",E30&lt;&gt;"",D30&gt;E30),1,0)+IF(AND(D25&lt;&gt;"",E25&lt;&gt;"",E25&gt;D25),1,0)+IF(AND(D27&lt;&gt;"",E27&lt;&gt;"",E27&gt;D27),1,0)</f>
        <v/>
      </c>
      <c r="M22" s="5">
        <f>IF(AND(D30&lt;&gt;"",E30&lt;&gt;"",D30=E30),1,0)+IF(AND(D25&lt;&gt;"",E25&lt;&gt;"",D25=E25),1,0)+IF(AND(D27&lt;&gt;"",E27&lt;&gt;"",D27=E27),1,0)</f>
        <v/>
      </c>
      <c r="N22" s="5">
        <f>IF(AND(D30&lt;&gt;"",E30&lt;&gt;"",D30&lt;E30),1,0)+IF(AND(D25&lt;&gt;"",E25&lt;&gt;"",E25&lt;D25),1,0)+IF(AND(D27&lt;&gt;"",E27&lt;&gt;"",E27&lt;D27),1,0)</f>
        <v/>
      </c>
      <c r="O22" s="5">
        <f>IF(AND(D30&lt;&gt;"",E30&lt;&gt;""),D30,0)+IF(AND(D25&lt;&gt;"",E25&lt;&gt;""),E25,0)+IF(AND(D27&lt;&gt;"",E27&lt;&gt;""),E27,0)</f>
        <v/>
      </c>
      <c r="P22" s="5">
        <f>IF(AND(D30&lt;&gt;"",E30&lt;&gt;""),E30,0)+IF(AND(D25&lt;&gt;"",E25&lt;&gt;""),D25,0)+IF(AND(D27&lt;&gt;"",E27&lt;&gt;""),D27,0)</f>
        <v/>
      </c>
      <c r="Q22" s="5">
        <f>O22-P22</f>
        <v/>
      </c>
      <c r="R22" s="5">
        <f>3*L22+M22</f>
        <v/>
      </c>
      <c r="S22">
        <f>R22*10000000+(Q22+99)*100000+O22*100+1</f>
        <v/>
      </c>
    </row>
    <row r="23"/>
    <row r="24" ht="16" customHeight="1">
      <c r="A24" s="6" t="inlineStr">
        <is>
          <t>MD</t>
        </is>
      </c>
      <c r="B24" s="6" t="inlineStr">
        <is>
          <t>Date / Time (ET)</t>
        </is>
      </c>
      <c r="C24" s="6" t="inlineStr">
        <is>
          <t>Home Team</t>
        </is>
      </c>
      <c r="D24" s="6" t="inlineStr">
        <is>
          <t>G</t>
        </is>
      </c>
      <c r="E24" s="6" t="inlineStr">
        <is>
          <t>G</t>
        </is>
      </c>
      <c r="F24" s="6" t="inlineStr">
        <is>
          <t>Away Team</t>
        </is>
      </c>
      <c r="G24" s="6" t="inlineStr">
        <is>
          <t>Venue</t>
        </is>
      </c>
    </row>
    <row r="25" ht="20" customHeight="1">
      <c r="A25" s="7" t="n">
        <v>1</v>
      </c>
      <c r="B25" s="8" t="inlineStr">
        <is>
          <t>Jun 12 · 3 pm ET</t>
        </is>
      </c>
      <c r="C25" s="9" t="inlineStr">
        <is>
          <t>Canada</t>
        </is>
      </c>
      <c r="D25" s="10">
        <f>RANDBETWEEN(0,4)</f>
        <v/>
      </c>
      <c r="E25" s="10">
        <f>RANDBETWEEN(0,4)</f>
        <v/>
      </c>
      <c r="F25" s="9" t="inlineStr">
        <is>
          <t>Bosnia &amp; Herzegovina</t>
        </is>
      </c>
      <c r="G25" s="11" t="inlineStr">
        <is>
          <t>Toronto</t>
        </is>
      </c>
    </row>
    <row r="26" ht="20" customHeight="1">
      <c r="A26" s="7" t="n">
        <v>1</v>
      </c>
      <c r="B26" s="8" t="inlineStr">
        <is>
          <t>Jun 13 · 3 pm ET</t>
        </is>
      </c>
      <c r="C26" s="9" t="inlineStr">
        <is>
          <t>Qatar</t>
        </is>
      </c>
      <c r="D26" s="10">
        <f>RANDBETWEEN(0,4)</f>
        <v/>
      </c>
      <c r="E26" s="10">
        <f>RANDBETWEEN(0,4)</f>
        <v/>
      </c>
      <c r="F26" s="9" t="inlineStr">
        <is>
          <t>Switzerland</t>
        </is>
      </c>
      <c r="G26" s="11" t="inlineStr">
        <is>
          <t>San Francisco</t>
        </is>
      </c>
    </row>
    <row r="27" ht="20" customHeight="1">
      <c r="A27" s="7" t="n">
        <v>2</v>
      </c>
      <c r="B27" s="8" t="inlineStr">
        <is>
          <t>Jun 18 · 3 pm ET</t>
        </is>
      </c>
      <c r="C27" s="9" t="inlineStr">
        <is>
          <t>Switzerland</t>
        </is>
      </c>
      <c r="D27" s="10">
        <f>RANDBETWEEN(0,4)</f>
        <v/>
      </c>
      <c r="E27" s="10">
        <f>RANDBETWEEN(0,4)</f>
        <v/>
      </c>
      <c r="F27" s="9" t="inlineStr">
        <is>
          <t>Bosnia &amp; Herzegovina</t>
        </is>
      </c>
      <c r="G27" s="11" t="inlineStr">
        <is>
          <t>Los Angeles</t>
        </is>
      </c>
    </row>
    <row r="28" ht="20" customHeight="1">
      <c r="A28" s="7" t="n">
        <v>2</v>
      </c>
      <c r="B28" s="8" t="inlineStr">
        <is>
          <t>Jun 18 · 6 pm ET</t>
        </is>
      </c>
      <c r="C28" s="9" t="inlineStr">
        <is>
          <t>Canada</t>
        </is>
      </c>
      <c r="D28" s="10">
        <f>RANDBETWEEN(0,4)</f>
        <v/>
      </c>
      <c r="E28" s="10">
        <f>RANDBETWEEN(0,4)</f>
        <v/>
      </c>
      <c r="F28" s="9" t="inlineStr">
        <is>
          <t>Qatar</t>
        </is>
      </c>
      <c r="G28" s="11" t="inlineStr">
        <is>
          <t>Vancouver</t>
        </is>
      </c>
    </row>
    <row r="29" ht="20" customHeight="1">
      <c r="A29" s="7" t="n">
        <v>3</v>
      </c>
      <c r="B29" s="8" t="inlineStr">
        <is>
          <t>Jun 24 · 3 pm ET</t>
        </is>
      </c>
      <c r="C29" s="9" t="inlineStr">
        <is>
          <t>Canada</t>
        </is>
      </c>
      <c r="D29" s="10">
        <f>RANDBETWEEN(0,4)</f>
        <v/>
      </c>
      <c r="E29" s="10">
        <f>RANDBETWEEN(0,4)</f>
        <v/>
      </c>
      <c r="F29" s="9" t="inlineStr">
        <is>
          <t>Switzerland</t>
        </is>
      </c>
      <c r="G29" s="11" t="inlineStr">
        <is>
          <t>Vancouver</t>
        </is>
      </c>
    </row>
    <row r="30" ht="20" customHeight="1">
      <c r="A30" s="7" t="n">
        <v>3</v>
      </c>
      <c r="B30" s="8" t="inlineStr">
        <is>
          <t>Jun 24 · 3 pm ET</t>
        </is>
      </c>
      <c r="C30" s="9" t="inlineStr">
        <is>
          <t>Bosnia &amp; Herzegovina</t>
        </is>
      </c>
      <c r="D30" s="10">
        <f>RANDBETWEEN(0,4)</f>
        <v/>
      </c>
      <c r="E30" s="10">
        <f>RANDBETWEEN(0,4)</f>
        <v/>
      </c>
      <c r="F30" s="9" t="inlineStr">
        <is>
          <t>Qatar</t>
        </is>
      </c>
      <c r="G30" s="11" t="inlineStr">
        <is>
          <t>Seattle</t>
        </is>
      </c>
    </row>
    <row r="31"/>
    <row r="32"/>
    <row r="33" ht="24" customHeight="1">
      <c r="A33" s="12" t="inlineStr">
        <is>
          <t xml:space="preserve">  GROUP C</t>
        </is>
      </c>
    </row>
    <row r="34" ht="16" customHeight="1">
      <c r="I34" s="2" t="inlineStr">
        <is>
          <t>#</t>
        </is>
      </c>
      <c r="J34" s="2" t="inlineStr">
        <is>
          <t>Team</t>
        </is>
      </c>
      <c r="K34" s="2" t="inlineStr">
        <is>
          <t>GP</t>
        </is>
      </c>
      <c r="L34" s="2" t="inlineStr">
        <is>
          <t>W</t>
        </is>
      </c>
      <c r="M34" s="2" t="inlineStr">
        <is>
          <t>D</t>
        </is>
      </c>
      <c r="N34" s="2" t="inlineStr">
        <is>
          <t>L</t>
        </is>
      </c>
      <c r="O34" s="2" t="inlineStr">
        <is>
          <t>GF</t>
        </is>
      </c>
      <c r="P34" s="2" t="inlineStr">
        <is>
          <t>GA</t>
        </is>
      </c>
      <c r="Q34" s="2" t="inlineStr">
        <is>
          <t>GD</t>
        </is>
      </c>
      <c r="R34" s="2" t="inlineStr">
        <is>
          <t>Pts</t>
        </is>
      </c>
    </row>
    <row r="35" ht="17" customHeight="1">
      <c r="I35" s="3" t="inlineStr"/>
      <c r="J35" s="4" t="inlineStr">
        <is>
          <t>Brazil</t>
        </is>
      </c>
      <c r="K35" s="5">
        <f>IF(AND(D41&lt;&gt;"",E41&lt;&gt;""),1,0)+IF(AND(D44&lt;&gt;"",E44&lt;&gt;""),1,0)+IF(AND(D45&lt;&gt;"",E45&lt;&gt;""),1,0)</f>
        <v/>
      </c>
      <c r="L35" s="5">
        <f>IF(AND(D41&lt;&gt;"",E41&lt;&gt;"",D41&gt;E41),1,0)+IF(AND(D44&lt;&gt;"",E44&lt;&gt;"",D44&gt;E44),1,0)+IF(AND(D45&lt;&gt;"",E45&lt;&gt;"",E45&gt;D45),1,0)</f>
        <v/>
      </c>
      <c r="M35" s="5">
        <f>IF(AND(D41&lt;&gt;"",E41&lt;&gt;"",D41=E41),1,0)+IF(AND(D44&lt;&gt;"",E44&lt;&gt;"",D44=E44),1,0)+IF(AND(D45&lt;&gt;"",E45&lt;&gt;"",D45=E45),1,0)</f>
        <v/>
      </c>
      <c r="N35" s="5">
        <f>IF(AND(D41&lt;&gt;"",E41&lt;&gt;"",D41&lt;E41),1,0)+IF(AND(D44&lt;&gt;"",E44&lt;&gt;"",D44&lt;E44),1,0)+IF(AND(D45&lt;&gt;"",E45&lt;&gt;"",E45&lt;D45),1,0)</f>
        <v/>
      </c>
      <c r="O35" s="5">
        <f>IF(AND(D41&lt;&gt;"",E41&lt;&gt;""),D41,0)+IF(AND(D44&lt;&gt;"",E44&lt;&gt;""),D44,0)+IF(AND(D45&lt;&gt;"",E45&lt;&gt;""),E45,0)</f>
        <v/>
      </c>
      <c r="P35" s="5">
        <f>IF(AND(D41&lt;&gt;"",E41&lt;&gt;""),E41,0)+IF(AND(D44&lt;&gt;"",E44&lt;&gt;""),E44,0)+IF(AND(D45&lt;&gt;"",E45&lt;&gt;""),D45,0)</f>
        <v/>
      </c>
      <c r="Q35" s="5">
        <f>O35-P35</f>
        <v/>
      </c>
      <c r="R35" s="5">
        <f>3*L35+M35</f>
        <v/>
      </c>
      <c r="S35">
        <f>R35*10000000+(Q35+99)*100000+O35*100+4</f>
        <v/>
      </c>
    </row>
    <row r="36" ht="17" customHeight="1">
      <c r="I36" s="3" t="inlineStr"/>
      <c r="J36" s="4" t="inlineStr">
        <is>
          <t>Morocco</t>
        </is>
      </c>
      <c r="K36" s="5">
        <f>IF(AND(D46&lt;&gt;"",E46&lt;&gt;""),1,0)+IF(AND(D41&lt;&gt;"",E41&lt;&gt;""),1,0)+IF(AND(D43&lt;&gt;"",E43&lt;&gt;""),1,0)</f>
        <v/>
      </c>
      <c r="L36" s="5">
        <f>IF(AND(D46&lt;&gt;"",E46&lt;&gt;"",D46&gt;E46),1,0)+IF(AND(D41&lt;&gt;"",E41&lt;&gt;"",E41&gt;D41),1,0)+IF(AND(D43&lt;&gt;"",E43&lt;&gt;"",E43&gt;D43),1,0)</f>
        <v/>
      </c>
      <c r="M36" s="5">
        <f>IF(AND(D46&lt;&gt;"",E46&lt;&gt;"",D46=E46),1,0)+IF(AND(D41&lt;&gt;"",E41&lt;&gt;"",D41=E41),1,0)+IF(AND(D43&lt;&gt;"",E43&lt;&gt;"",D43=E43),1,0)</f>
        <v/>
      </c>
      <c r="N36" s="5">
        <f>IF(AND(D46&lt;&gt;"",E46&lt;&gt;"",D46&lt;E46),1,0)+IF(AND(D41&lt;&gt;"",E41&lt;&gt;"",E41&lt;D41),1,0)+IF(AND(D43&lt;&gt;"",E43&lt;&gt;"",E43&lt;D43),1,0)</f>
        <v/>
      </c>
      <c r="O36" s="5">
        <f>IF(AND(D46&lt;&gt;"",E46&lt;&gt;""),D46,0)+IF(AND(D41&lt;&gt;"",E41&lt;&gt;""),E41,0)+IF(AND(D43&lt;&gt;"",E43&lt;&gt;""),E43,0)</f>
        <v/>
      </c>
      <c r="P36" s="5">
        <f>IF(AND(D46&lt;&gt;"",E46&lt;&gt;""),E46,0)+IF(AND(D41&lt;&gt;"",E41&lt;&gt;""),D41,0)+IF(AND(D43&lt;&gt;"",E43&lt;&gt;""),D43,0)</f>
        <v/>
      </c>
      <c r="Q36" s="5">
        <f>O36-P36</f>
        <v/>
      </c>
      <c r="R36" s="5">
        <f>3*L36+M36</f>
        <v/>
      </c>
      <c r="S36">
        <f>R36*10000000+(Q36+99)*100000+O36*100+3</f>
        <v/>
      </c>
    </row>
    <row r="37" ht="17" customHeight="1">
      <c r="I37" s="3" t="inlineStr"/>
      <c r="J37" s="4" t="inlineStr">
        <is>
          <t>Scotland</t>
        </is>
      </c>
      <c r="K37" s="5">
        <f>IF(AND(D43&lt;&gt;"",E43&lt;&gt;""),1,0)+IF(AND(D45&lt;&gt;"",E45&lt;&gt;""),1,0)+IF(AND(D42&lt;&gt;"",E42&lt;&gt;""),1,0)</f>
        <v/>
      </c>
      <c r="L37" s="5">
        <f>IF(AND(D43&lt;&gt;"",E43&lt;&gt;"",D43&gt;E43),1,0)+IF(AND(D45&lt;&gt;"",E45&lt;&gt;"",D45&gt;E45),1,0)+IF(AND(D42&lt;&gt;"",E42&lt;&gt;"",E42&gt;D42),1,0)</f>
        <v/>
      </c>
      <c r="M37" s="5">
        <f>IF(AND(D43&lt;&gt;"",E43&lt;&gt;"",D43=E43),1,0)+IF(AND(D45&lt;&gt;"",E45&lt;&gt;"",D45=E45),1,0)+IF(AND(D42&lt;&gt;"",E42&lt;&gt;"",D42=E42),1,0)</f>
        <v/>
      </c>
      <c r="N37" s="5">
        <f>IF(AND(D43&lt;&gt;"",E43&lt;&gt;"",D43&lt;E43),1,0)+IF(AND(D45&lt;&gt;"",E45&lt;&gt;"",D45&lt;E45),1,0)+IF(AND(D42&lt;&gt;"",E42&lt;&gt;"",E42&lt;D42),1,0)</f>
        <v/>
      </c>
      <c r="O37" s="5">
        <f>IF(AND(D43&lt;&gt;"",E43&lt;&gt;""),D43,0)+IF(AND(D45&lt;&gt;"",E45&lt;&gt;""),D45,0)+IF(AND(D42&lt;&gt;"",E42&lt;&gt;""),E42,0)</f>
        <v/>
      </c>
      <c r="P37" s="5">
        <f>IF(AND(D43&lt;&gt;"",E43&lt;&gt;""),E43,0)+IF(AND(D45&lt;&gt;"",E45&lt;&gt;""),E45,0)+IF(AND(D42&lt;&gt;"",E42&lt;&gt;""),D42,0)</f>
        <v/>
      </c>
      <c r="Q37" s="5">
        <f>O37-P37</f>
        <v/>
      </c>
      <c r="R37" s="5">
        <f>3*L37+M37</f>
        <v/>
      </c>
      <c r="S37">
        <f>R37*10000000+(Q37+99)*100000+O37*100+2</f>
        <v/>
      </c>
    </row>
    <row r="38" ht="17" customHeight="1">
      <c r="I38" s="3" t="inlineStr"/>
      <c r="J38" s="4" t="inlineStr">
        <is>
          <t>Haiti</t>
        </is>
      </c>
      <c r="K38" s="5">
        <f>IF(AND(D42&lt;&gt;"",E42&lt;&gt;""),1,0)+IF(AND(D44&lt;&gt;"",E44&lt;&gt;""),1,0)+IF(AND(D46&lt;&gt;"",E46&lt;&gt;""),1,0)</f>
        <v/>
      </c>
      <c r="L38" s="5">
        <f>IF(AND(D42&lt;&gt;"",E42&lt;&gt;"",D42&gt;E42),1,0)+IF(AND(D44&lt;&gt;"",E44&lt;&gt;"",E44&gt;D44),1,0)+IF(AND(D46&lt;&gt;"",E46&lt;&gt;"",E46&gt;D46),1,0)</f>
        <v/>
      </c>
      <c r="M38" s="5">
        <f>IF(AND(D42&lt;&gt;"",E42&lt;&gt;"",D42=E42),1,0)+IF(AND(D44&lt;&gt;"",E44&lt;&gt;"",D44=E44),1,0)+IF(AND(D46&lt;&gt;"",E46&lt;&gt;"",D46=E46),1,0)</f>
        <v/>
      </c>
      <c r="N38" s="5">
        <f>IF(AND(D42&lt;&gt;"",E42&lt;&gt;"",D42&lt;E42),1,0)+IF(AND(D44&lt;&gt;"",E44&lt;&gt;"",E44&lt;D44),1,0)+IF(AND(D46&lt;&gt;"",E46&lt;&gt;"",E46&lt;D46),1,0)</f>
        <v/>
      </c>
      <c r="O38" s="5">
        <f>IF(AND(D42&lt;&gt;"",E42&lt;&gt;""),D42,0)+IF(AND(D44&lt;&gt;"",E44&lt;&gt;""),E44,0)+IF(AND(D46&lt;&gt;"",E46&lt;&gt;""),E46,0)</f>
        <v/>
      </c>
      <c r="P38" s="5">
        <f>IF(AND(D42&lt;&gt;"",E42&lt;&gt;""),E42,0)+IF(AND(D44&lt;&gt;"",E44&lt;&gt;""),D44,0)+IF(AND(D46&lt;&gt;"",E46&lt;&gt;""),D46,0)</f>
        <v/>
      </c>
      <c r="Q38" s="5">
        <f>O38-P38</f>
        <v/>
      </c>
      <c r="R38" s="5">
        <f>3*L38+M38</f>
        <v/>
      </c>
      <c r="S38">
        <f>R38*10000000+(Q38+99)*100000+O38*100+1</f>
        <v/>
      </c>
    </row>
    <row r="39"/>
    <row r="40" ht="16" customHeight="1">
      <c r="A40" s="6" t="inlineStr">
        <is>
          <t>MD</t>
        </is>
      </c>
      <c r="B40" s="6" t="inlineStr">
        <is>
          <t>Date / Time (ET)</t>
        </is>
      </c>
      <c r="C40" s="6" t="inlineStr">
        <is>
          <t>Home Team</t>
        </is>
      </c>
      <c r="D40" s="6" t="inlineStr">
        <is>
          <t>G</t>
        </is>
      </c>
      <c r="E40" s="6" t="inlineStr">
        <is>
          <t>G</t>
        </is>
      </c>
      <c r="F40" s="6" t="inlineStr">
        <is>
          <t>Away Team</t>
        </is>
      </c>
      <c r="G40" s="6" t="inlineStr">
        <is>
          <t>Venue</t>
        </is>
      </c>
    </row>
    <row r="41" ht="20" customHeight="1">
      <c r="A41" s="7" t="n">
        <v>1</v>
      </c>
      <c r="B41" s="8" t="inlineStr">
        <is>
          <t>Jun 13 · 6 pm ET</t>
        </is>
      </c>
      <c r="C41" s="9" t="inlineStr">
        <is>
          <t>Brazil</t>
        </is>
      </c>
      <c r="D41" s="10">
        <f>RANDBETWEEN(0,4)</f>
        <v/>
      </c>
      <c r="E41" s="10">
        <f>RANDBETWEEN(0,4)</f>
        <v/>
      </c>
      <c r="F41" s="9" t="inlineStr">
        <is>
          <t>Morocco</t>
        </is>
      </c>
      <c r="G41" s="11" t="inlineStr">
        <is>
          <t>New York/NJ</t>
        </is>
      </c>
    </row>
    <row r="42" ht="20" customHeight="1">
      <c r="A42" s="7" t="n">
        <v>1</v>
      </c>
      <c r="B42" s="8" t="inlineStr">
        <is>
          <t>Jun 13 · 9 pm ET</t>
        </is>
      </c>
      <c r="C42" s="9" t="inlineStr">
        <is>
          <t>Haiti</t>
        </is>
      </c>
      <c r="D42" s="10">
        <f>RANDBETWEEN(0,4)</f>
        <v/>
      </c>
      <c r="E42" s="10">
        <f>RANDBETWEEN(0,4)</f>
        <v/>
      </c>
      <c r="F42" s="9" t="inlineStr">
        <is>
          <t>Scotland</t>
        </is>
      </c>
      <c r="G42" s="11" t="inlineStr">
        <is>
          <t>Boston</t>
        </is>
      </c>
    </row>
    <row r="43" ht="20" customHeight="1">
      <c r="A43" s="7" t="n">
        <v>2</v>
      </c>
      <c r="B43" s="8" t="inlineStr">
        <is>
          <t>Jun 19 · 3 pm ET</t>
        </is>
      </c>
      <c r="C43" s="9" t="inlineStr">
        <is>
          <t>Scotland</t>
        </is>
      </c>
      <c r="D43" s="10">
        <f>RANDBETWEEN(0,4)</f>
        <v/>
      </c>
      <c r="E43" s="10">
        <f>RANDBETWEEN(0,4)</f>
        <v/>
      </c>
      <c r="F43" s="9" t="inlineStr">
        <is>
          <t>Morocco</t>
        </is>
      </c>
      <c r="G43" s="11" t="inlineStr">
        <is>
          <t>Boston</t>
        </is>
      </c>
    </row>
    <row r="44" ht="20" customHeight="1">
      <c r="A44" s="7" t="n">
        <v>2</v>
      </c>
      <c r="B44" s="8" t="inlineStr">
        <is>
          <t>Jun 19 · 9 pm ET</t>
        </is>
      </c>
      <c r="C44" s="9" t="inlineStr">
        <is>
          <t>Brazil</t>
        </is>
      </c>
      <c r="D44" s="10">
        <f>RANDBETWEEN(0,4)</f>
        <v/>
      </c>
      <c r="E44" s="10">
        <f>RANDBETWEEN(0,4)</f>
        <v/>
      </c>
      <c r="F44" s="9" t="inlineStr">
        <is>
          <t>Haiti</t>
        </is>
      </c>
      <c r="G44" s="11" t="inlineStr">
        <is>
          <t>Philadelphia</t>
        </is>
      </c>
    </row>
    <row r="45" ht="20" customHeight="1">
      <c r="A45" s="7" t="n">
        <v>3</v>
      </c>
      <c r="B45" s="8" t="inlineStr">
        <is>
          <t>Jun 24 · 6 pm ET</t>
        </is>
      </c>
      <c r="C45" s="9" t="inlineStr">
        <is>
          <t>Scotland</t>
        </is>
      </c>
      <c r="D45" s="10">
        <f>RANDBETWEEN(0,4)</f>
        <v/>
      </c>
      <c r="E45" s="10">
        <f>RANDBETWEEN(0,4)</f>
        <v/>
      </c>
      <c r="F45" s="9" t="inlineStr">
        <is>
          <t>Brazil</t>
        </is>
      </c>
      <c r="G45" s="11" t="inlineStr">
        <is>
          <t>Miami</t>
        </is>
      </c>
    </row>
    <row r="46" ht="20" customHeight="1">
      <c r="A46" s="7" t="n">
        <v>3</v>
      </c>
      <c r="B46" s="8" t="inlineStr">
        <is>
          <t>Jun 24 · 6 pm ET</t>
        </is>
      </c>
      <c r="C46" s="9" t="inlineStr">
        <is>
          <t>Morocco</t>
        </is>
      </c>
      <c r="D46" s="10">
        <f>RANDBETWEEN(0,4)</f>
        <v/>
      </c>
      <c r="E46" s="10">
        <f>RANDBETWEEN(0,4)</f>
        <v/>
      </c>
      <c r="F46" s="9" t="inlineStr">
        <is>
          <t>Haiti</t>
        </is>
      </c>
      <c r="G46" s="11" t="inlineStr">
        <is>
          <t>Atlanta</t>
        </is>
      </c>
    </row>
    <row r="47"/>
    <row r="48"/>
    <row r="49" ht="24" customHeight="1">
      <c r="A49" s="12" t="inlineStr">
        <is>
          <t xml:space="preserve">  GROUP D</t>
        </is>
      </c>
    </row>
    <row r="50" ht="16" customHeight="1">
      <c r="I50" s="2" t="inlineStr">
        <is>
          <t>#</t>
        </is>
      </c>
      <c r="J50" s="2" t="inlineStr">
        <is>
          <t>Team</t>
        </is>
      </c>
      <c r="K50" s="2" t="inlineStr">
        <is>
          <t>GP</t>
        </is>
      </c>
      <c r="L50" s="2" t="inlineStr">
        <is>
          <t>W</t>
        </is>
      </c>
      <c r="M50" s="2" t="inlineStr">
        <is>
          <t>D</t>
        </is>
      </c>
      <c r="N50" s="2" t="inlineStr">
        <is>
          <t>L</t>
        </is>
      </c>
      <c r="O50" s="2" t="inlineStr">
        <is>
          <t>GF</t>
        </is>
      </c>
      <c r="P50" s="2" t="inlineStr">
        <is>
          <t>GA</t>
        </is>
      </c>
      <c r="Q50" s="2" t="inlineStr">
        <is>
          <t>GD</t>
        </is>
      </c>
      <c r="R50" s="2" t="inlineStr">
        <is>
          <t>Pts</t>
        </is>
      </c>
    </row>
    <row r="51" ht="17" customHeight="1">
      <c r="I51" s="3" t="inlineStr"/>
      <c r="J51" s="4" t="inlineStr">
        <is>
          <t>USA</t>
        </is>
      </c>
      <c r="K51" s="5">
        <f>IF(AND(D57&lt;&gt;"",E57&lt;&gt;""),1,0)+IF(AND(D59&lt;&gt;"",E59&lt;&gt;""),1,0)+IF(AND(D61&lt;&gt;"",E61&lt;&gt;""),1,0)</f>
        <v/>
      </c>
      <c r="L51" s="5">
        <f>IF(AND(D57&lt;&gt;"",E57&lt;&gt;"",D57&gt;E57),1,0)+IF(AND(D59&lt;&gt;"",E59&lt;&gt;"",D59&gt;E59),1,0)+IF(AND(D61&lt;&gt;"",E61&lt;&gt;"",E61&gt;D61),1,0)</f>
        <v/>
      </c>
      <c r="M51" s="5">
        <f>IF(AND(D57&lt;&gt;"",E57&lt;&gt;"",D57=E57),1,0)+IF(AND(D59&lt;&gt;"",E59&lt;&gt;"",D59=E59),1,0)+IF(AND(D61&lt;&gt;"",E61&lt;&gt;"",D61=E61),1,0)</f>
        <v/>
      </c>
      <c r="N51" s="5">
        <f>IF(AND(D57&lt;&gt;"",E57&lt;&gt;"",D57&lt;E57),1,0)+IF(AND(D59&lt;&gt;"",E59&lt;&gt;"",D59&lt;E59),1,0)+IF(AND(D61&lt;&gt;"",E61&lt;&gt;"",E61&lt;D61),1,0)</f>
        <v/>
      </c>
      <c r="O51" s="5">
        <f>IF(AND(D57&lt;&gt;"",E57&lt;&gt;""),D57,0)+IF(AND(D59&lt;&gt;"",E59&lt;&gt;""),D59,0)+IF(AND(D61&lt;&gt;"",E61&lt;&gt;""),E61,0)</f>
        <v/>
      </c>
      <c r="P51" s="5">
        <f>IF(AND(D57&lt;&gt;"",E57&lt;&gt;""),E57,0)+IF(AND(D59&lt;&gt;"",E59&lt;&gt;""),E59,0)+IF(AND(D61&lt;&gt;"",E61&lt;&gt;""),D61,0)</f>
        <v/>
      </c>
      <c r="Q51" s="5">
        <f>O51-P51</f>
        <v/>
      </c>
      <c r="R51" s="5">
        <f>3*L51+M51</f>
        <v/>
      </c>
      <c r="S51">
        <f>R51*10000000+(Q51+99)*100000+O51*100+4</f>
        <v/>
      </c>
    </row>
    <row r="52" ht="17" customHeight="1">
      <c r="I52" s="3" t="inlineStr"/>
      <c r="J52" s="4" t="inlineStr">
        <is>
          <t>Australia</t>
        </is>
      </c>
      <c r="K52" s="5">
        <f>IF(AND(D58&lt;&gt;"",E58&lt;&gt;""),1,0)+IF(AND(D59&lt;&gt;"",E59&lt;&gt;""),1,0)+IF(AND(D62&lt;&gt;"",E62&lt;&gt;""),1,0)</f>
        <v/>
      </c>
      <c r="L52" s="5">
        <f>IF(AND(D58&lt;&gt;"",E58&lt;&gt;"",D58&gt;E58),1,0)+IF(AND(D59&lt;&gt;"",E59&lt;&gt;"",E59&gt;D59),1,0)+IF(AND(D62&lt;&gt;"",E62&lt;&gt;"",E62&gt;D62),1,0)</f>
        <v/>
      </c>
      <c r="M52" s="5">
        <f>IF(AND(D58&lt;&gt;"",E58&lt;&gt;"",D58=E58),1,0)+IF(AND(D59&lt;&gt;"",E59&lt;&gt;"",D59=E59),1,0)+IF(AND(D62&lt;&gt;"",E62&lt;&gt;"",D62=E62),1,0)</f>
        <v/>
      </c>
      <c r="N52" s="5">
        <f>IF(AND(D58&lt;&gt;"",E58&lt;&gt;"",D58&lt;E58),1,0)+IF(AND(D59&lt;&gt;"",E59&lt;&gt;"",E59&lt;D59),1,0)+IF(AND(D62&lt;&gt;"",E62&lt;&gt;"",E62&lt;D62),1,0)</f>
        <v/>
      </c>
      <c r="O52" s="5">
        <f>IF(AND(D58&lt;&gt;"",E58&lt;&gt;""),D58,0)+IF(AND(D59&lt;&gt;"",E59&lt;&gt;""),E59,0)+IF(AND(D62&lt;&gt;"",E62&lt;&gt;""),E62,0)</f>
        <v/>
      </c>
      <c r="P52" s="5">
        <f>IF(AND(D58&lt;&gt;"",E58&lt;&gt;""),E58,0)+IF(AND(D59&lt;&gt;"",E59&lt;&gt;""),D59,0)+IF(AND(D62&lt;&gt;"",E62&lt;&gt;""),D62,0)</f>
        <v/>
      </c>
      <c r="Q52" s="5">
        <f>O52-P52</f>
        <v/>
      </c>
      <c r="R52" s="5">
        <f>3*L52+M52</f>
        <v/>
      </c>
      <c r="S52">
        <f>R52*10000000+(Q52+99)*100000+O52*100+3</f>
        <v/>
      </c>
    </row>
    <row r="53" ht="17" customHeight="1">
      <c r="I53" s="3" t="inlineStr"/>
      <c r="J53" s="4" t="inlineStr">
        <is>
          <t>Paraguay</t>
        </is>
      </c>
      <c r="K53" s="5">
        <f>IF(AND(D62&lt;&gt;"",E62&lt;&gt;""),1,0)+IF(AND(D57&lt;&gt;"",E57&lt;&gt;""),1,0)+IF(AND(D60&lt;&gt;"",E60&lt;&gt;""),1,0)</f>
        <v/>
      </c>
      <c r="L53" s="5">
        <f>IF(AND(D62&lt;&gt;"",E62&lt;&gt;"",D62&gt;E62),1,0)+IF(AND(D57&lt;&gt;"",E57&lt;&gt;"",E57&gt;D57),1,0)+IF(AND(D60&lt;&gt;"",E60&lt;&gt;"",E60&gt;D60),1,0)</f>
        <v/>
      </c>
      <c r="M53" s="5">
        <f>IF(AND(D62&lt;&gt;"",E62&lt;&gt;"",D62=E62),1,0)+IF(AND(D57&lt;&gt;"",E57&lt;&gt;"",D57=E57),1,0)+IF(AND(D60&lt;&gt;"",E60&lt;&gt;"",D60=E60),1,0)</f>
        <v/>
      </c>
      <c r="N53" s="5">
        <f>IF(AND(D62&lt;&gt;"",E62&lt;&gt;"",D62&lt;E62),1,0)+IF(AND(D57&lt;&gt;"",E57&lt;&gt;"",E57&lt;D57),1,0)+IF(AND(D60&lt;&gt;"",E60&lt;&gt;"",E60&lt;D60),1,0)</f>
        <v/>
      </c>
      <c r="O53" s="5">
        <f>IF(AND(D62&lt;&gt;"",E62&lt;&gt;""),D62,0)+IF(AND(D57&lt;&gt;"",E57&lt;&gt;""),E57,0)+IF(AND(D60&lt;&gt;"",E60&lt;&gt;""),E60,0)</f>
        <v/>
      </c>
      <c r="P53" s="5">
        <f>IF(AND(D62&lt;&gt;"",E62&lt;&gt;""),E62,0)+IF(AND(D57&lt;&gt;"",E57&lt;&gt;""),D57,0)+IF(AND(D60&lt;&gt;"",E60&lt;&gt;""),D60,0)</f>
        <v/>
      </c>
      <c r="Q53" s="5">
        <f>O53-P53</f>
        <v/>
      </c>
      <c r="R53" s="5">
        <f>3*L53+M53</f>
        <v/>
      </c>
      <c r="S53">
        <f>R53*10000000+(Q53+99)*100000+O53*100+2</f>
        <v/>
      </c>
    </row>
    <row r="54" ht="17" customHeight="1">
      <c r="I54" s="3" t="inlineStr"/>
      <c r="J54" s="4" t="inlineStr">
        <is>
          <t>Turkey</t>
        </is>
      </c>
      <c r="K54" s="5">
        <f>IF(AND(D60&lt;&gt;"",E60&lt;&gt;""),1,0)+IF(AND(D61&lt;&gt;"",E61&lt;&gt;""),1,0)+IF(AND(D58&lt;&gt;"",E58&lt;&gt;""),1,0)</f>
        <v/>
      </c>
      <c r="L54" s="5">
        <f>IF(AND(D60&lt;&gt;"",E60&lt;&gt;"",D60&gt;E60),1,0)+IF(AND(D61&lt;&gt;"",E61&lt;&gt;"",D61&gt;E61),1,0)+IF(AND(D58&lt;&gt;"",E58&lt;&gt;"",E58&gt;D58),1,0)</f>
        <v/>
      </c>
      <c r="M54" s="5">
        <f>IF(AND(D60&lt;&gt;"",E60&lt;&gt;"",D60=E60),1,0)+IF(AND(D61&lt;&gt;"",E61&lt;&gt;"",D61=E61),1,0)+IF(AND(D58&lt;&gt;"",E58&lt;&gt;"",D58=E58),1,0)</f>
        <v/>
      </c>
      <c r="N54" s="5">
        <f>IF(AND(D60&lt;&gt;"",E60&lt;&gt;"",D60&lt;E60),1,0)+IF(AND(D61&lt;&gt;"",E61&lt;&gt;"",D61&lt;E61),1,0)+IF(AND(D58&lt;&gt;"",E58&lt;&gt;"",E58&lt;D58),1,0)</f>
        <v/>
      </c>
      <c r="O54" s="5">
        <f>IF(AND(D60&lt;&gt;"",E60&lt;&gt;""),D60,0)+IF(AND(D61&lt;&gt;"",E61&lt;&gt;""),D61,0)+IF(AND(D58&lt;&gt;"",E58&lt;&gt;""),E58,0)</f>
        <v/>
      </c>
      <c r="P54" s="5">
        <f>IF(AND(D60&lt;&gt;"",E60&lt;&gt;""),E60,0)+IF(AND(D61&lt;&gt;"",E61&lt;&gt;""),E61,0)+IF(AND(D58&lt;&gt;"",E58&lt;&gt;""),D58,0)</f>
        <v/>
      </c>
      <c r="Q54" s="5">
        <f>O54-P54</f>
        <v/>
      </c>
      <c r="R54" s="5">
        <f>3*L54+M54</f>
        <v/>
      </c>
      <c r="S54">
        <f>R54*10000000+(Q54+99)*100000+O54*100+1</f>
        <v/>
      </c>
    </row>
    <row r="55"/>
    <row r="56" ht="16" customHeight="1">
      <c r="A56" s="6" t="inlineStr">
        <is>
          <t>MD</t>
        </is>
      </c>
      <c r="B56" s="6" t="inlineStr">
        <is>
          <t>Date / Time (ET)</t>
        </is>
      </c>
      <c r="C56" s="6" t="inlineStr">
        <is>
          <t>Home Team</t>
        </is>
      </c>
      <c r="D56" s="6" t="inlineStr">
        <is>
          <t>G</t>
        </is>
      </c>
      <c r="E56" s="6" t="inlineStr">
        <is>
          <t>G</t>
        </is>
      </c>
      <c r="F56" s="6" t="inlineStr">
        <is>
          <t>Away Team</t>
        </is>
      </c>
      <c r="G56" s="6" t="inlineStr">
        <is>
          <t>Venue</t>
        </is>
      </c>
    </row>
    <row r="57" ht="20" customHeight="1">
      <c r="A57" s="7" t="n">
        <v>1</v>
      </c>
      <c r="B57" s="8" t="inlineStr">
        <is>
          <t>Jun 12 · 9 pm ET</t>
        </is>
      </c>
      <c r="C57" s="9" t="inlineStr">
        <is>
          <t>USA</t>
        </is>
      </c>
      <c r="D57" s="10">
        <f>RANDBETWEEN(0,4)</f>
        <v/>
      </c>
      <c r="E57" s="10">
        <f>RANDBETWEEN(0,4)</f>
        <v/>
      </c>
      <c r="F57" s="9" t="inlineStr">
        <is>
          <t>Paraguay</t>
        </is>
      </c>
      <c r="G57" s="11" t="inlineStr">
        <is>
          <t>Los Angeles</t>
        </is>
      </c>
    </row>
    <row r="58" ht="20" customHeight="1">
      <c r="A58" s="7" t="n">
        <v>1</v>
      </c>
      <c r="B58" s="8" t="inlineStr">
        <is>
          <t>Jun 13 · 12 am ET</t>
        </is>
      </c>
      <c r="C58" s="9" t="inlineStr">
        <is>
          <t>Australia</t>
        </is>
      </c>
      <c r="D58" s="10">
        <f>RANDBETWEEN(0,4)</f>
        <v/>
      </c>
      <c r="E58" s="10">
        <f>RANDBETWEEN(0,4)</f>
        <v/>
      </c>
      <c r="F58" s="9" t="inlineStr">
        <is>
          <t>Turkey</t>
        </is>
      </c>
      <c r="G58" s="11" t="inlineStr">
        <is>
          <t>Vancouver</t>
        </is>
      </c>
    </row>
    <row r="59" ht="20" customHeight="1">
      <c r="A59" s="7" t="n">
        <v>2</v>
      </c>
      <c r="B59" s="8" t="inlineStr">
        <is>
          <t>Jun 19 · 3 pm ET</t>
        </is>
      </c>
      <c r="C59" s="9" t="inlineStr">
        <is>
          <t>USA</t>
        </is>
      </c>
      <c r="D59" s="10">
        <f>RANDBETWEEN(0,4)</f>
        <v/>
      </c>
      <c r="E59" s="10">
        <f>RANDBETWEEN(0,4)</f>
        <v/>
      </c>
      <c r="F59" s="9" t="inlineStr">
        <is>
          <t>Australia</t>
        </is>
      </c>
      <c r="G59" s="11" t="inlineStr">
        <is>
          <t>Seattle</t>
        </is>
      </c>
    </row>
    <row r="60" ht="20" customHeight="1">
      <c r="A60" s="7" t="n">
        <v>2</v>
      </c>
      <c r="B60" s="8" t="inlineStr">
        <is>
          <t>Jun 19 · 12 am ET</t>
        </is>
      </c>
      <c r="C60" s="9" t="inlineStr">
        <is>
          <t>Turkey</t>
        </is>
      </c>
      <c r="D60" s="10">
        <f>RANDBETWEEN(0,4)</f>
        <v/>
      </c>
      <c r="E60" s="10">
        <f>RANDBETWEEN(0,4)</f>
        <v/>
      </c>
      <c r="F60" s="9" t="inlineStr">
        <is>
          <t>Paraguay</t>
        </is>
      </c>
      <c r="G60" s="11" t="inlineStr">
        <is>
          <t>San Francisco</t>
        </is>
      </c>
    </row>
    <row r="61" ht="20" customHeight="1">
      <c r="A61" s="7" t="n">
        <v>3</v>
      </c>
      <c r="B61" s="8" t="inlineStr">
        <is>
          <t>Jun 25 · 10 pm ET</t>
        </is>
      </c>
      <c r="C61" s="9" t="inlineStr">
        <is>
          <t>Turkey</t>
        </is>
      </c>
      <c r="D61" s="10">
        <f>RANDBETWEEN(0,4)</f>
        <v/>
      </c>
      <c r="E61" s="10">
        <f>RANDBETWEEN(0,4)</f>
        <v/>
      </c>
      <c r="F61" s="9" t="inlineStr">
        <is>
          <t>USA</t>
        </is>
      </c>
      <c r="G61" s="11" t="inlineStr">
        <is>
          <t>Los Angeles</t>
        </is>
      </c>
    </row>
    <row r="62" ht="20" customHeight="1">
      <c r="A62" s="7" t="n">
        <v>3</v>
      </c>
      <c r="B62" s="8" t="inlineStr">
        <is>
          <t>Jun 25 · 10 pm ET</t>
        </is>
      </c>
      <c r="C62" s="9" t="inlineStr">
        <is>
          <t>Paraguay</t>
        </is>
      </c>
      <c r="D62" s="10">
        <f>RANDBETWEEN(0,4)</f>
        <v/>
      </c>
      <c r="E62" s="10">
        <f>RANDBETWEEN(0,4)</f>
        <v/>
      </c>
      <c r="F62" s="9" t="inlineStr">
        <is>
          <t>Australia</t>
        </is>
      </c>
      <c r="G62" s="11" t="inlineStr">
        <is>
          <t>San Francisco</t>
        </is>
      </c>
    </row>
    <row r="63"/>
    <row r="64"/>
    <row r="65" ht="24" customHeight="1">
      <c r="A65" s="12" t="inlineStr">
        <is>
          <t xml:space="preserve">  GROUP E</t>
        </is>
      </c>
    </row>
    <row r="66" ht="16" customHeight="1">
      <c r="I66" s="2" t="inlineStr">
        <is>
          <t>#</t>
        </is>
      </c>
      <c r="J66" s="2" t="inlineStr">
        <is>
          <t>Team</t>
        </is>
      </c>
      <c r="K66" s="2" t="inlineStr">
        <is>
          <t>GP</t>
        </is>
      </c>
      <c r="L66" s="2" t="inlineStr">
        <is>
          <t>W</t>
        </is>
      </c>
      <c r="M66" s="2" t="inlineStr">
        <is>
          <t>D</t>
        </is>
      </c>
      <c r="N66" s="2" t="inlineStr">
        <is>
          <t>L</t>
        </is>
      </c>
      <c r="O66" s="2" t="inlineStr">
        <is>
          <t>GF</t>
        </is>
      </c>
      <c r="P66" s="2" t="inlineStr">
        <is>
          <t>GA</t>
        </is>
      </c>
      <c r="Q66" s="2" t="inlineStr">
        <is>
          <t>GD</t>
        </is>
      </c>
      <c r="R66" s="2" t="inlineStr">
        <is>
          <t>Pts</t>
        </is>
      </c>
    </row>
    <row r="67" ht="17" customHeight="1">
      <c r="I67" s="3" t="inlineStr"/>
      <c r="J67" s="4" t="inlineStr">
        <is>
          <t>Germany</t>
        </is>
      </c>
      <c r="K67" s="5">
        <f>IF(AND(D73&lt;&gt;"",E73&lt;&gt;""),1,0)+IF(AND(D75&lt;&gt;"",E75&lt;&gt;""),1,0)+IF(AND(D77&lt;&gt;"",E77&lt;&gt;""),1,0)</f>
        <v/>
      </c>
      <c r="L67" s="5">
        <f>IF(AND(D73&lt;&gt;"",E73&lt;&gt;"",D73&gt;E73),1,0)+IF(AND(D75&lt;&gt;"",E75&lt;&gt;"",D75&gt;E75),1,0)+IF(AND(D77&lt;&gt;"",E77&lt;&gt;"",E77&gt;D77),1,0)</f>
        <v/>
      </c>
      <c r="M67" s="5">
        <f>IF(AND(D73&lt;&gt;"",E73&lt;&gt;"",D73=E73),1,0)+IF(AND(D75&lt;&gt;"",E75&lt;&gt;"",D75=E75),1,0)+IF(AND(D77&lt;&gt;"",E77&lt;&gt;"",D77=E77),1,0)</f>
        <v/>
      </c>
      <c r="N67" s="5">
        <f>IF(AND(D73&lt;&gt;"",E73&lt;&gt;"",D73&lt;E73),1,0)+IF(AND(D75&lt;&gt;"",E75&lt;&gt;"",D75&lt;E75),1,0)+IF(AND(D77&lt;&gt;"",E77&lt;&gt;"",E77&lt;D77),1,0)</f>
        <v/>
      </c>
      <c r="O67" s="5">
        <f>IF(AND(D73&lt;&gt;"",E73&lt;&gt;""),D73,0)+IF(AND(D75&lt;&gt;"",E75&lt;&gt;""),D75,0)+IF(AND(D77&lt;&gt;"",E77&lt;&gt;""),E77,0)</f>
        <v/>
      </c>
      <c r="P67" s="5">
        <f>IF(AND(D73&lt;&gt;"",E73&lt;&gt;""),E73,0)+IF(AND(D75&lt;&gt;"",E75&lt;&gt;""),E75,0)+IF(AND(D77&lt;&gt;"",E77&lt;&gt;""),D77,0)</f>
        <v/>
      </c>
      <c r="Q67" s="5">
        <f>O67-P67</f>
        <v/>
      </c>
      <c r="R67" s="5">
        <f>3*L67+M67</f>
        <v/>
      </c>
      <c r="S67">
        <f>R67*10000000+(Q67+99)*100000+O67*100+4</f>
        <v/>
      </c>
    </row>
    <row r="68" ht="17" customHeight="1">
      <c r="I68" s="3" t="inlineStr"/>
      <c r="J68" s="4" t="inlineStr">
        <is>
          <t>Ecuador</t>
        </is>
      </c>
      <c r="K68" s="5">
        <f>IF(AND(D76&lt;&gt;"",E76&lt;&gt;""),1,0)+IF(AND(D77&lt;&gt;"",E77&lt;&gt;""),1,0)+IF(AND(D74&lt;&gt;"",E74&lt;&gt;""),1,0)</f>
        <v/>
      </c>
      <c r="L68" s="5">
        <f>IF(AND(D76&lt;&gt;"",E76&lt;&gt;"",D76&gt;E76),1,0)+IF(AND(D77&lt;&gt;"",E77&lt;&gt;"",D77&gt;E77),1,0)+IF(AND(D74&lt;&gt;"",E74&lt;&gt;"",E74&gt;D74),1,0)</f>
        <v/>
      </c>
      <c r="M68" s="5">
        <f>IF(AND(D76&lt;&gt;"",E76&lt;&gt;"",D76=E76),1,0)+IF(AND(D77&lt;&gt;"",E77&lt;&gt;"",D77=E77),1,0)+IF(AND(D74&lt;&gt;"",E74&lt;&gt;"",D74=E74),1,0)</f>
        <v/>
      </c>
      <c r="N68" s="5">
        <f>IF(AND(D76&lt;&gt;"",E76&lt;&gt;"",D76&lt;E76),1,0)+IF(AND(D77&lt;&gt;"",E77&lt;&gt;"",D77&lt;E77),1,0)+IF(AND(D74&lt;&gt;"",E74&lt;&gt;"",E74&lt;D74),1,0)</f>
        <v/>
      </c>
      <c r="O68" s="5">
        <f>IF(AND(D76&lt;&gt;"",E76&lt;&gt;""),D76,0)+IF(AND(D77&lt;&gt;"",E77&lt;&gt;""),D77,0)+IF(AND(D74&lt;&gt;"",E74&lt;&gt;""),E74,0)</f>
        <v/>
      </c>
      <c r="P68" s="5">
        <f>IF(AND(D76&lt;&gt;"",E76&lt;&gt;""),E76,0)+IF(AND(D77&lt;&gt;"",E77&lt;&gt;""),E77,0)+IF(AND(D74&lt;&gt;"",E74&lt;&gt;""),D74,0)</f>
        <v/>
      </c>
      <c r="Q68" s="5">
        <f>O68-P68</f>
        <v/>
      </c>
      <c r="R68" s="5">
        <f>3*L68+M68</f>
        <v/>
      </c>
      <c r="S68">
        <f>R68*10000000+(Q68+99)*100000+O68*100+3</f>
        <v/>
      </c>
    </row>
    <row r="69" ht="17" customHeight="1">
      <c r="I69" s="3" t="inlineStr"/>
      <c r="J69" s="4" t="inlineStr">
        <is>
          <t>Ivory Coast</t>
        </is>
      </c>
      <c r="K69" s="5">
        <f>IF(AND(D74&lt;&gt;"",E74&lt;&gt;""),1,0)+IF(AND(D75&lt;&gt;"",E75&lt;&gt;""),1,0)+IF(AND(D78&lt;&gt;"",E78&lt;&gt;""),1,0)</f>
        <v/>
      </c>
      <c r="L69" s="5">
        <f>IF(AND(D74&lt;&gt;"",E74&lt;&gt;"",D74&gt;E74),1,0)+IF(AND(D75&lt;&gt;"",E75&lt;&gt;"",E75&gt;D75),1,0)+IF(AND(D78&lt;&gt;"",E78&lt;&gt;"",E78&gt;D78),1,0)</f>
        <v/>
      </c>
      <c r="M69" s="5">
        <f>IF(AND(D74&lt;&gt;"",E74&lt;&gt;"",D74=E74),1,0)+IF(AND(D75&lt;&gt;"",E75&lt;&gt;"",D75=E75),1,0)+IF(AND(D78&lt;&gt;"",E78&lt;&gt;"",D78=E78),1,0)</f>
        <v/>
      </c>
      <c r="N69" s="5">
        <f>IF(AND(D74&lt;&gt;"",E74&lt;&gt;"",D74&lt;E74),1,0)+IF(AND(D75&lt;&gt;"",E75&lt;&gt;"",E75&lt;D75),1,0)+IF(AND(D78&lt;&gt;"",E78&lt;&gt;"",E78&lt;D78),1,0)</f>
        <v/>
      </c>
      <c r="O69" s="5">
        <f>IF(AND(D74&lt;&gt;"",E74&lt;&gt;""),D74,0)+IF(AND(D75&lt;&gt;"",E75&lt;&gt;""),E75,0)+IF(AND(D78&lt;&gt;"",E78&lt;&gt;""),E78,0)</f>
        <v/>
      </c>
      <c r="P69" s="5">
        <f>IF(AND(D74&lt;&gt;"",E74&lt;&gt;""),E74,0)+IF(AND(D75&lt;&gt;"",E75&lt;&gt;""),D75,0)+IF(AND(D78&lt;&gt;"",E78&lt;&gt;""),D78,0)</f>
        <v/>
      </c>
      <c r="Q69" s="5">
        <f>O69-P69</f>
        <v/>
      </c>
      <c r="R69" s="5">
        <f>3*L69+M69</f>
        <v/>
      </c>
      <c r="S69">
        <f>R69*10000000+(Q69+99)*100000+O69*100+2</f>
        <v/>
      </c>
    </row>
    <row r="70" ht="17" customHeight="1">
      <c r="I70" s="3" t="inlineStr"/>
      <c r="J70" s="4" t="inlineStr">
        <is>
          <t>Curaçao</t>
        </is>
      </c>
      <c r="K70" s="5">
        <f>IF(AND(D78&lt;&gt;"",E78&lt;&gt;""),1,0)+IF(AND(D73&lt;&gt;"",E73&lt;&gt;""),1,0)+IF(AND(D76&lt;&gt;"",E76&lt;&gt;""),1,0)</f>
        <v/>
      </c>
      <c r="L70" s="5">
        <f>IF(AND(D78&lt;&gt;"",E78&lt;&gt;"",D78&gt;E78),1,0)+IF(AND(D73&lt;&gt;"",E73&lt;&gt;"",E73&gt;D73),1,0)+IF(AND(D76&lt;&gt;"",E76&lt;&gt;"",E76&gt;D76),1,0)</f>
        <v/>
      </c>
      <c r="M70" s="5">
        <f>IF(AND(D78&lt;&gt;"",E78&lt;&gt;"",D78=E78),1,0)+IF(AND(D73&lt;&gt;"",E73&lt;&gt;"",D73=E73),1,0)+IF(AND(D76&lt;&gt;"",E76&lt;&gt;"",D76=E76),1,0)</f>
        <v/>
      </c>
      <c r="N70" s="5">
        <f>IF(AND(D78&lt;&gt;"",E78&lt;&gt;"",D78&lt;E78),1,0)+IF(AND(D73&lt;&gt;"",E73&lt;&gt;"",E73&lt;D73),1,0)+IF(AND(D76&lt;&gt;"",E76&lt;&gt;"",E76&lt;D76),1,0)</f>
        <v/>
      </c>
      <c r="O70" s="5">
        <f>IF(AND(D78&lt;&gt;"",E78&lt;&gt;""),D78,0)+IF(AND(D73&lt;&gt;"",E73&lt;&gt;""),E73,0)+IF(AND(D76&lt;&gt;"",E76&lt;&gt;""),E76,0)</f>
        <v/>
      </c>
      <c r="P70" s="5">
        <f>IF(AND(D78&lt;&gt;"",E78&lt;&gt;""),E78,0)+IF(AND(D73&lt;&gt;"",E73&lt;&gt;""),D73,0)+IF(AND(D76&lt;&gt;"",E76&lt;&gt;""),D76,0)</f>
        <v/>
      </c>
      <c r="Q70" s="5">
        <f>O70-P70</f>
        <v/>
      </c>
      <c r="R70" s="5">
        <f>3*L70+M70</f>
        <v/>
      </c>
      <c r="S70">
        <f>R70*10000000+(Q70+99)*100000+O70*100+1</f>
        <v/>
      </c>
    </row>
    <row r="71"/>
    <row r="72" ht="16" customHeight="1">
      <c r="A72" s="6" t="inlineStr">
        <is>
          <t>MD</t>
        </is>
      </c>
      <c r="B72" s="6" t="inlineStr">
        <is>
          <t>Date / Time (ET)</t>
        </is>
      </c>
      <c r="C72" s="6" t="inlineStr">
        <is>
          <t>Home Team</t>
        </is>
      </c>
      <c r="D72" s="6" t="inlineStr">
        <is>
          <t>G</t>
        </is>
      </c>
      <c r="E72" s="6" t="inlineStr">
        <is>
          <t>G</t>
        </is>
      </c>
      <c r="F72" s="6" t="inlineStr">
        <is>
          <t>Away Team</t>
        </is>
      </c>
      <c r="G72" s="6" t="inlineStr">
        <is>
          <t>Venue</t>
        </is>
      </c>
    </row>
    <row r="73" ht="20" customHeight="1">
      <c r="A73" s="7" t="n">
        <v>1</v>
      </c>
      <c r="B73" s="8" t="inlineStr">
        <is>
          <t>Jun 14 · 1 pm ET</t>
        </is>
      </c>
      <c r="C73" s="9" t="inlineStr">
        <is>
          <t>Germany</t>
        </is>
      </c>
      <c r="D73" s="10">
        <f>RANDBETWEEN(0,4)</f>
        <v/>
      </c>
      <c r="E73" s="10">
        <f>RANDBETWEEN(0,4)</f>
        <v/>
      </c>
      <c r="F73" s="9" t="inlineStr">
        <is>
          <t>Curaçao</t>
        </is>
      </c>
      <c r="G73" s="11" t="inlineStr">
        <is>
          <t>Houston</t>
        </is>
      </c>
    </row>
    <row r="74" ht="20" customHeight="1">
      <c r="A74" s="7" t="n">
        <v>1</v>
      </c>
      <c r="B74" s="8" t="inlineStr">
        <is>
          <t>Jun 14 · 7 pm ET</t>
        </is>
      </c>
      <c r="C74" s="9" t="inlineStr">
        <is>
          <t>Ivory Coast</t>
        </is>
      </c>
      <c r="D74" s="10">
        <f>RANDBETWEEN(0,4)</f>
        <v/>
      </c>
      <c r="E74" s="10">
        <f>RANDBETWEEN(0,4)</f>
        <v/>
      </c>
      <c r="F74" s="9" t="inlineStr">
        <is>
          <t>Ecuador</t>
        </is>
      </c>
      <c r="G74" s="11" t="inlineStr">
        <is>
          <t>Philadelphia</t>
        </is>
      </c>
    </row>
    <row r="75" ht="20" customHeight="1">
      <c r="A75" s="7" t="n">
        <v>2</v>
      </c>
      <c r="B75" s="8" t="inlineStr">
        <is>
          <t>Jun 20 · 4 pm ET</t>
        </is>
      </c>
      <c r="C75" s="9" t="inlineStr">
        <is>
          <t>Germany</t>
        </is>
      </c>
      <c r="D75" s="10">
        <f>RANDBETWEEN(0,4)</f>
        <v/>
      </c>
      <c r="E75" s="10">
        <f>RANDBETWEEN(0,4)</f>
        <v/>
      </c>
      <c r="F75" s="9" t="inlineStr">
        <is>
          <t>Ivory Coast</t>
        </is>
      </c>
      <c r="G75" s="11" t="inlineStr">
        <is>
          <t>Toronto</t>
        </is>
      </c>
    </row>
    <row r="76" ht="20" customHeight="1">
      <c r="A76" s="7" t="n">
        <v>2</v>
      </c>
      <c r="B76" s="8" t="inlineStr">
        <is>
          <t>Jun 20 · 8 pm ET</t>
        </is>
      </c>
      <c r="C76" s="9" t="inlineStr">
        <is>
          <t>Ecuador</t>
        </is>
      </c>
      <c r="D76" s="10">
        <f>RANDBETWEEN(0,4)</f>
        <v/>
      </c>
      <c r="E76" s="10">
        <f>RANDBETWEEN(0,4)</f>
        <v/>
      </c>
      <c r="F76" s="9" t="inlineStr">
        <is>
          <t>Curaçao</t>
        </is>
      </c>
      <c r="G76" s="11" t="inlineStr">
        <is>
          <t>Kansas City</t>
        </is>
      </c>
    </row>
    <row r="77" ht="20" customHeight="1">
      <c r="A77" s="7" t="n">
        <v>3</v>
      </c>
      <c r="B77" s="8" t="inlineStr">
        <is>
          <t>Jun 25 · 4 pm ET</t>
        </is>
      </c>
      <c r="C77" s="9" t="inlineStr">
        <is>
          <t>Ecuador</t>
        </is>
      </c>
      <c r="D77" s="10">
        <f>RANDBETWEEN(0,4)</f>
        <v/>
      </c>
      <c r="E77" s="10">
        <f>RANDBETWEEN(0,4)</f>
        <v/>
      </c>
      <c r="F77" s="9" t="inlineStr">
        <is>
          <t>Germany</t>
        </is>
      </c>
      <c r="G77" s="11" t="inlineStr">
        <is>
          <t>New York/NJ</t>
        </is>
      </c>
    </row>
    <row r="78" ht="20" customHeight="1">
      <c r="A78" s="7" t="n">
        <v>3</v>
      </c>
      <c r="B78" s="8" t="inlineStr">
        <is>
          <t>Jun 25 · 4 pm ET</t>
        </is>
      </c>
      <c r="C78" s="9" t="inlineStr">
        <is>
          <t>Curaçao</t>
        </is>
      </c>
      <c r="D78" s="10">
        <f>RANDBETWEEN(0,4)</f>
        <v/>
      </c>
      <c r="E78" s="10">
        <f>RANDBETWEEN(0,4)</f>
        <v/>
      </c>
      <c r="F78" s="9" t="inlineStr">
        <is>
          <t>Ivory Coast</t>
        </is>
      </c>
      <c r="G78" s="11" t="inlineStr">
        <is>
          <t>Philadelphia</t>
        </is>
      </c>
    </row>
    <row r="79"/>
    <row r="80"/>
    <row r="81" ht="24" customHeight="1">
      <c r="A81" s="12" t="inlineStr">
        <is>
          <t xml:space="preserve">  GROUP F</t>
        </is>
      </c>
    </row>
    <row r="82" ht="16" customHeight="1">
      <c r="I82" s="2" t="inlineStr">
        <is>
          <t>#</t>
        </is>
      </c>
      <c r="J82" s="2" t="inlineStr">
        <is>
          <t>Team</t>
        </is>
      </c>
      <c r="K82" s="2" t="inlineStr">
        <is>
          <t>GP</t>
        </is>
      </c>
      <c r="L82" s="2" t="inlineStr">
        <is>
          <t>W</t>
        </is>
      </c>
      <c r="M82" s="2" t="inlineStr">
        <is>
          <t>D</t>
        </is>
      </c>
      <c r="N82" s="2" t="inlineStr">
        <is>
          <t>L</t>
        </is>
      </c>
      <c r="O82" s="2" t="inlineStr">
        <is>
          <t>GF</t>
        </is>
      </c>
      <c r="P82" s="2" t="inlineStr">
        <is>
          <t>GA</t>
        </is>
      </c>
      <c r="Q82" s="2" t="inlineStr">
        <is>
          <t>GD</t>
        </is>
      </c>
      <c r="R82" s="2" t="inlineStr">
        <is>
          <t>Pts</t>
        </is>
      </c>
    </row>
    <row r="83" ht="17" customHeight="1">
      <c r="I83" s="3" t="inlineStr"/>
      <c r="J83" s="4" t="inlineStr">
        <is>
          <t>Netherlands</t>
        </is>
      </c>
      <c r="K83" s="5">
        <f>IF(AND(D89&lt;&gt;"",E89&lt;&gt;""),1,0)+IF(AND(D91&lt;&gt;"",E91&lt;&gt;""),1,0)+IF(AND(D94&lt;&gt;"",E94&lt;&gt;""),1,0)</f>
        <v/>
      </c>
      <c r="L83" s="5">
        <f>IF(AND(D89&lt;&gt;"",E89&lt;&gt;"",D89&gt;E89),1,0)+IF(AND(D91&lt;&gt;"",E91&lt;&gt;"",D91&gt;E91),1,0)+IF(AND(D94&lt;&gt;"",E94&lt;&gt;"",E94&gt;D94),1,0)</f>
        <v/>
      </c>
      <c r="M83" s="5">
        <f>IF(AND(D89&lt;&gt;"",E89&lt;&gt;"",D89=E89),1,0)+IF(AND(D91&lt;&gt;"",E91&lt;&gt;"",D91=E91),1,0)+IF(AND(D94&lt;&gt;"",E94&lt;&gt;"",D94=E94),1,0)</f>
        <v/>
      </c>
      <c r="N83" s="5">
        <f>IF(AND(D89&lt;&gt;"",E89&lt;&gt;"",D89&lt;E89),1,0)+IF(AND(D91&lt;&gt;"",E91&lt;&gt;"",D91&lt;E91),1,0)+IF(AND(D94&lt;&gt;"",E94&lt;&gt;"",E94&lt;D94),1,0)</f>
        <v/>
      </c>
      <c r="O83" s="5">
        <f>IF(AND(D89&lt;&gt;"",E89&lt;&gt;""),D89,0)+IF(AND(D91&lt;&gt;"",E91&lt;&gt;""),D91,0)+IF(AND(D94&lt;&gt;"",E94&lt;&gt;""),E94,0)</f>
        <v/>
      </c>
      <c r="P83" s="5">
        <f>IF(AND(D89&lt;&gt;"",E89&lt;&gt;""),E89,0)+IF(AND(D91&lt;&gt;"",E91&lt;&gt;""),E91,0)+IF(AND(D94&lt;&gt;"",E94&lt;&gt;""),D94,0)</f>
        <v/>
      </c>
      <c r="Q83" s="5">
        <f>O83-P83</f>
        <v/>
      </c>
      <c r="R83" s="5">
        <f>3*L83+M83</f>
        <v/>
      </c>
      <c r="S83">
        <f>R83*10000000+(Q83+99)*100000+O83*100+4</f>
        <v/>
      </c>
    </row>
    <row r="84" ht="17" customHeight="1">
      <c r="I84" s="3" t="inlineStr"/>
      <c r="J84" s="4" t="inlineStr">
        <is>
          <t>Japan</t>
        </is>
      </c>
      <c r="K84" s="5">
        <f>IF(AND(D93&lt;&gt;"",E93&lt;&gt;""),1,0)+IF(AND(D89&lt;&gt;"",E89&lt;&gt;""),1,0)+IF(AND(D92&lt;&gt;"",E92&lt;&gt;""),1,0)</f>
        <v/>
      </c>
      <c r="L84" s="5">
        <f>IF(AND(D93&lt;&gt;"",E93&lt;&gt;"",D93&gt;E93),1,0)+IF(AND(D89&lt;&gt;"",E89&lt;&gt;"",E89&gt;D89),1,0)+IF(AND(D92&lt;&gt;"",E92&lt;&gt;"",E92&gt;D92),1,0)</f>
        <v/>
      </c>
      <c r="M84" s="5">
        <f>IF(AND(D93&lt;&gt;"",E93&lt;&gt;"",D93=E93),1,0)+IF(AND(D89&lt;&gt;"",E89&lt;&gt;"",D89=E89),1,0)+IF(AND(D92&lt;&gt;"",E92&lt;&gt;"",D92=E92),1,0)</f>
        <v/>
      </c>
      <c r="N84" s="5">
        <f>IF(AND(D93&lt;&gt;"",E93&lt;&gt;"",D93&lt;E93),1,0)+IF(AND(D89&lt;&gt;"",E89&lt;&gt;"",E89&lt;D89),1,0)+IF(AND(D92&lt;&gt;"",E92&lt;&gt;"",E92&lt;D92),1,0)</f>
        <v/>
      </c>
      <c r="O84" s="5">
        <f>IF(AND(D93&lt;&gt;"",E93&lt;&gt;""),D93,0)+IF(AND(D89&lt;&gt;"",E89&lt;&gt;""),E89,0)+IF(AND(D92&lt;&gt;"",E92&lt;&gt;""),E92,0)</f>
        <v/>
      </c>
      <c r="P84" s="5">
        <f>IF(AND(D93&lt;&gt;"",E93&lt;&gt;""),E93,0)+IF(AND(D89&lt;&gt;"",E89&lt;&gt;""),D89,0)+IF(AND(D92&lt;&gt;"",E92&lt;&gt;""),D92,0)</f>
        <v/>
      </c>
      <c r="Q84" s="5">
        <f>O84-P84</f>
        <v/>
      </c>
      <c r="R84" s="5">
        <f>3*L84+M84</f>
        <v/>
      </c>
      <c r="S84">
        <f>R84*10000000+(Q84+99)*100000+O84*100+3</f>
        <v/>
      </c>
    </row>
    <row r="85" ht="17" customHeight="1">
      <c r="I85" s="3" t="inlineStr"/>
      <c r="J85" s="4" t="inlineStr">
        <is>
          <t>Tunisia</t>
        </is>
      </c>
      <c r="K85" s="5">
        <f>IF(AND(D92&lt;&gt;"",E92&lt;&gt;""),1,0)+IF(AND(D94&lt;&gt;"",E94&lt;&gt;""),1,0)+IF(AND(D90&lt;&gt;"",E90&lt;&gt;""),1,0)</f>
        <v/>
      </c>
      <c r="L85" s="5">
        <f>IF(AND(D92&lt;&gt;"",E92&lt;&gt;"",D92&gt;E92),1,0)+IF(AND(D94&lt;&gt;"",E94&lt;&gt;"",D94&gt;E94),1,0)+IF(AND(D90&lt;&gt;"",E90&lt;&gt;"",E90&gt;D90),1,0)</f>
        <v/>
      </c>
      <c r="M85" s="5">
        <f>IF(AND(D92&lt;&gt;"",E92&lt;&gt;"",D92=E92),1,0)+IF(AND(D94&lt;&gt;"",E94&lt;&gt;"",D94=E94),1,0)+IF(AND(D90&lt;&gt;"",E90&lt;&gt;"",D90=E90),1,0)</f>
        <v/>
      </c>
      <c r="N85" s="5">
        <f>IF(AND(D92&lt;&gt;"",E92&lt;&gt;"",D92&lt;E92),1,0)+IF(AND(D94&lt;&gt;"",E94&lt;&gt;"",D94&lt;E94),1,0)+IF(AND(D90&lt;&gt;"",E90&lt;&gt;"",E90&lt;D90),1,0)</f>
        <v/>
      </c>
      <c r="O85" s="5">
        <f>IF(AND(D92&lt;&gt;"",E92&lt;&gt;""),D92,0)+IF(AND(D94&lt;&gt;"",E94&lt;&gt;""),D94,0)+IF(AND(D90&lt;&gt;"",E90&lt;&gt;""),E90,0)</f>
        <v/>
      </c>
      <c r="P85" s="5">
        <f>IF(AND(D92&lt;&gt;"",E92&lt;&gt;""),E92,0)+IF(AND(D94&lt;&gt;"",E94&lt;&gt;""),E94,0)+IF(AND(D90&lt;&gt;"",E90&lt;&gt;""),D90,0)</f>
        <v/>
      </c>
      <c r="Q85" s="5">
        <f>O85-P85</f>
        <v/>
      </c>
      <c r="R85" s="5">
        <f>3*L85+M85</f>
        <v/>
      </c>
      <c r="S85">
        <f>R85*10000000+(Q85+99)*100000+O85*100+2</f>
        <v/>
      </c>
    </row>
    <row r="86" ht="17" customHeight="1">
      <c r="I86" s="3" t="inlineStr"/>
      <c r="J86" s="4" t="inlineStr">
        <is>
          <t>Sweden</t>
        </is>
      </c>
      <c r="K86" s="5">
        <f>IF(AND(D90&lt;&gt;"",E90&lt;&gt;""),1,0)+IF(AND(D91&lt;&gt;"",E91&lt;&gt;""),1,0)+IF(AND(D93&lt;&gt;"",E93&lt;&gt;""),1,0)</f>
        <v/>
      </c>
      <c r="L86" s="5">
        <f>IF(AND(D90&lt;&gt;"",E90&lt;&gt;"",D90&gt;E90),1,0)+IF(AND(D91&lt;&gt;"",E91&lt;&gt;"",E91&gt;D91),1,0)+IF(AND(D93&lt;&gt;"",E93&lt;&gt;"",E93&gt;D93),1,0)</f>
        <v/>
      </c>
      <c r="M86" s="5">
        <f>IF(AND(D90&lt;&gt;"",E90&lt;&gt;"",D90=E90),1,0)+IF(AND(D91&lt;&gt;"",E91&lt;&gt;"",D91=E91),1,0)+IF(AND(D93&lt;&gt;"",E93&lt;&gt;"",D93=E93),1,0)</f>
        <v/>
      </c>
      <c r="N86" s="5">
        <f>IF(AND(D90&lt;&gt;"",E90&lt;&gt;"",D90&lt;E90),1,0)+IF(AND(D91&lt;&gt;"",E91&lt;&gt;"",E91&lt;D91),1,0)+IF(AND(D93&lt;&gt;"",E93&lt;&gt;"",E93&lt;D93),1,0)</f>
        <v/>
      </c>
      <c r="O86" s="5">
        <f>IF(AND(D90&lt;&gt;"",E90&lt;&gt;""),D90,0)+IF(AND(D91&lt;&gt;"",E91&lt;&gt;""),E91,0)+IF(AND(D93&lt;&gt;"",E93&lt;&gt;""),E93,0)</f>
        <v/>
      </c>
      <c r="P86" s="5">
        <f>IF(AND(D90&lt;&gt;"",E90&lt;&gt;""),E90,0)+IF(AND(D91&lt;&gt;"",E91&lt;&gt;""),D91,0)+IF(AND(D93&lt;&gt;"",E93&lt;&gt;""),D93,0)</f>
        <v/>
      </c>
      <c r="Q86" s="5">
        <f>O86-P86</f>
        <v/>
      </c>
      <c r="R86" s="5">
        <f>3*L86+M86</f>
        <v/>
      </c>
      <c r="S86">
        <f>R86*10000000+(Q86+99)*100000+O86*100+1</f>
        <v/>
      </c>
    </row>
    <row r="87"/>
    <row r="88" ht="16" customHeight="1">
      <c r="A88" s="6" t="inlineStr">
        <is>
          <t>MD</t>
        </is>
      </c>
      <c r="B88" s="6" t="inlineStr">
        <is>
          <t>Date / Time (ET)</t>
        </is>
      </c>
      <c r="C88" s="6" t="inlineStr">
        <is>
          <t>Home Team</t>
        </is>
      </c>
      <c r="D88" s="6" t="inlineStr">
        <is>
          <t>G</t>
        </is>
      </c>
      <c r="E88" s="6" t="inlineStr">
        <is>
          <t>G</t>
        </is>
      </c>
      <c r="F88" s="6" t="inlineStr">
        <is>
          <t>Away Team</t>
        </is>
      </c>
      <c r="G88" s="6" t="inlineStr">
        <is>
          <t>Venue</t>
        </is>
      </c>
    </row>
    <row r="89" ht="20" customHeight="1">
      <c r="A89" s="7" t="n">
        <v>1</v>
      </c>
      <c r="B89" s="8" t="inlineStr">
        <is>
          <t>Jun 14 · 4 pm ET</t>
        </is>
      </c>
      <c r="C89" s="9" t="inlineStr">
        <is>
          <t>Netherlands</t>
        </is>
      </c>
      <c r="D89" s="10">
        <f>RANDBETWEEN(0,4)</f>
        <v/>
      </c>
      <c r="E89" s="10">
        <f>RANDBETWEEN(0,4)</f>
        <v/>
      </c>
      <c r="F89" s="9" t="inlineStr">
        <is>
          <t>Japan</t>
        </is>
      </c>
      <c r="G89" s="11" t="inlineStr">
        <is>
          <t>Dallas</t>
        </is>
      </c>
    </row>
    <row r="90" ht="20" customHeight="1">
      <c r="A90" s="7" t="n">
        <v>1</v>
      </c>
      <c r="B90" s="8" t="inlineStr">
        <is>
          <t>Jun 14 · 10 pm ET</t>
        </is>
      </c>
      <c r="C90" s="9" t="inlineStr">
        <is>
          <t>Sweden</t>
        </is>
      </c>
      <c r="D90" s="10">
        <f>RANDBETWEEN(0,4)</f>
        <v/>
      </c>
      <c r="E90" s="10">
        <f>RANDBETWEEN(0,4)</f>
        <v/>
      </c>
      <c r="F90" s="9" t="inlineStr">
        <is>
          <t>Tunisia</t>
        </is>
      </c>
      <c r="G90" s="11" t="inlineStr">
        <is>
          <t>Monterrey</t>
        </is>
      </c>
    </row>
    <row r="91" ht="20" customHeight="1">
      <c r="A91" s="7" t="n">
        <v>2</v>
      </c>
      <c r="B91" s="8" t="inlineStr">
        <is>
          <t>Jun 20 · 1 pm ET</t>
        </is>
      </c>
      <c r="C91" s="9" t="inlineStr">
        <is>
          <t>Netherlands</t>
        </is>
      </c>
      <c r="D91" s="10">
        <f>RANDBETWEEN(0,4)</f>
        <v/>
      </c>
      <c r="E91" s="10">
        <f>RANDBETWEEN(0,4)</f>
        <v/>
      </c>
      <c r="F91" s="9" t="inlineStr">
        <is>
          <t>Sweden</t>
        </is>
      </c>
      <c r="G91" s="11" t="inlineStr">
        <is>
          <t>Houston</t>
        </is>
      </c>
    </row>
    <row r="92" ht="20" customHeight="1">
      <c r="A92" s="7" t="n">
        <v>2</v>
      </c>
      <c r="B92" s="8" t="inlineStr">
        <is>
          <t>Jun 20 · 12 am ET</t>
        </is>
      </c>
      <c r="C92" s="9" t="inlineStr">
        <is>
          <t>Tunisia</t>
        </is>
      </c>
      <c r="D92" s="10">
        <f>RANDBETWEEN(0,4)</f>
        <v/>
      </c>
      <c r="E92" s="10">
        <f>RANDBETWEEN(0,4)</f>
        <v/>
      </c>
      <c r="F92" s="9" t="inlineStr">
        <is>
          <t>Japan</t>
        </is>
      </c>
      <c r="G92" s="11" t="inlineStr">
        <is>
          <t>Monterrey</t>
        </is>
      </c>
    </row>
    <row r="93" ht="20" customHeight="1">
      <c r="A93" s="7" t="n">
        <v>3</v>
      </c>
      <c r="B93" s="8" t="inlineStr">
        <is>
          <t>Jun 25 · 7 pm ET</t>
        </is>
      </c>
      <c r="C93" s="9" t="inlineStr">
        <is>
          <t>Japan</t>
        </is>
      </c>
      <c r="D93" s="10">
        <f>RANDBETWEEN(0,4)</f>
        <v/>
      </c>
      <c r="E93" s="10">
        <f>RANDBETWEEN(0,4)</f>
        <v/>
      </c>
      <c r="F93" s="9" t="inlineStr">
        <is>
          <t>Sweden</t>
        </is>
      </c>
      <c r="G93" s="11" t="inlineStr">
        <is>
          <t>Dallas</t>
        </is>
      </c>
    </row>
    <row r="94" ht="20" customHeight="1">
      <c r="A94" s="7" t="n">
        <v>3</v>
      </c>
      <c r="B94" s="8" t="inlineStr">
        <is>
          <t>Jun 25 · 7 pm ET</t>
        </is>
      </c>
      <c r="C94" s="9" t="inlineStr">
        <is>
          <t>Tunisia</t>
        </is>
      </c>
      <c r="D94" s="10">
        <f>RANDBETWEEN(0,4)</f>
        <v/>
      </c>
      <c r="E94" s="10">
        <f>RANDBETWEEN(0,4)</f>
        <v/>
      </c>
      <c r="F94" s="9" t="inlineStr">
        <is>
          <t>Netherlands</t>
        </is>
      </c>
      <c r="G94" s="11" t="inlineStr">
        <is>
          <t>Kansas City</t>
        </is>
      </c>
    </row>
    <row r="95"/>
    <row r="96"/>
    <row r="97" ht="24" customHeight="1">
      <c r="A97" s="12" t="inlineStr">
        <is>
          <t xml:space="preserve">  GROUP G</t>
        </is>
      </c>
    </row>
    <row r="98" ht="16" customHeight="1">
      <c r="I98" s="2" t="inlineStr">
        <is>
          <t>#</t>
        </is>
      </c>
      <c r="J98" s="2" t="inlineStr">
        <is>
          <t>Team</t>
        </is>
      </c>
      <c r="K98" s="2" t="inlineStr">
        <is>
          <t>GP</t>
        </is>
      </c>
      <c r="L98" s="2" t="inlineStr">
        <is>
          <t>W</t>
        </is>
      </c>
      <c r="M98" s="2" t="inlineStr">
        <is>
          <t>D</t>
        </is>
      </c>
      <c r="N98" s="2" t="inlineStr">
        <is>
          <t>L</t>
        </is>
      </c>
      <c r="O98" s="2" t="inlineStr">
        <is>
          <t>GF</t>
        </is>
      </c>
      <c r="P98" s="2" t="inlineStr">
        <is>
          <t>GA</t>
        </is>
      </c>
      <c r="Q98" s="2" t="inlineStr">
        <is>
          <t>GD</t>
        </is>
      </c>
      <c r="R98" s="2" t="inlineStr">
        <is>
          <t>Pts</t>
        </is>
      </c>
    </row>
    <row r="99" ht="17" customHeight="1">
      <c r="I99" s="3" t="inlineStr"/>
      <c r="J99" s="4" t="inlineStr">
        <is>
          <t>Belgium</t>
        </is>
      </c>
      <c r="K99" s="5">
        <f>IF(AND(D105&lt;&gt;"",E105&lt;&gt;""),1,0)+IF(AND(D107&lt;&gt;"",E107&lt;&gt;""),1,0)+IF(AND(D110&lt;&gt;"",E110&lt;&gt;""),1,0)</f>
        <v/>
      </c>
      <c r="L99" s="5">
        <f>IF(AND(D105&lt;&gt;"",E105&lt;&gt;"",D105&gt;E105),1,0)+IF(AND(D107&lt;&gt;"",E107&lt;&gt;"",D107&gt;E107),1,0)+IF(AND(D110&lt;&gt;"",E110&lt;&gt;"",E110&gt;D110),1,0)</f>
        <v/>
      </c>
      <c r="M99" s="5">
        <f>IF(AND(D105&lt;&gt;"",E105&lt;&gt;"",D105=E105),1,0)+IF(AND(D107&lt;&gt;"",E107&lt;&gt;"",D107=E107),1,0)+IF(AND(D110&lt;&gt;"",E110&lt;&gt;"",D110=E110),1,0)</f>
        <v/>
      </c>
      <c r="N99" s="5">
        <f>IF(AND(D105&lt;&gt;"",E105&lt;&gt;"",D105&lt;E105),1,0)+IF(AND(D107&lt;&gt;"",E107&lt;&gt;"",D107&lt;E107),1,0)+IF(AND(D110&lt;&gt;"",E110&lt;&gt;"",E110&lt;D110),1,0)</f>
        <v/>
      </c>
      <c r="O99" s="5">
        <f>IF(AND(D105&lt;&gt;"",E105&lt;&gt;""),D105,0)+IF(AND(D107&lt;&gt;"",E107&lt;&gt;""),D107,0)+IF(AND(D110&lt;&gt;"",E110&lt;&gt;""),E110,0)</f>
        <v/>
      </c>
      <c r="P99" s="5">
        <f>IF(AND(D105&lt;&gt;"",E105&lt;&gt;""),E105,0)+IF(AND(D107&lt;&gt;"",E107&lt;&gt;""),E107,0)+IF(AND(D110&lt;&gt;"",E110&lt;&gt;""),D110,0)</f>
        <v/>
      </c>
      <c r="Q99" s="5">
        <f>O99-P99</f>
        <v/>
      </c>
      <c r="R99" s="5">
        <f>3*L99+M99</f>
        <v/>
      </c>
      <c r="S99">
        <f>R99*10000000+(Q99+99)*100000+O99*100+4</f>
        <v/>
      </c>
    </row>
    <row r="100" ht="17" customHeight="1">
      <c r="I100" s="3" t="inlineStr"/>
      <c r="J100" s="4" t="inlineStr">
        <is>
          <t>Iran</t>
        </is>
      </c>
      <c r="K100" s="5">
        <f>IF(AND(D106&lt;&gt;"",E106&lt;&gt;""),1,0)+IF(AND(D107&lt;&gt;"",E107&lt;&gt;""),1,0)+IF(AND(D109&lt;&gt;"",E109&lt;&gt;""),1,0)</f>
        <v/>
      </c>
      <c r="L100" s="5">
        <f>IF(AND(D106&lt;&gt;"",E106&lt;&gt;"",D106&gt;E106),1,0)+IF(AND(D107&lt;&gt;"",E107&lt;&gt;"",E107&gt;D107),1,0)+IF(AND(D109&lt;&gt;"",E109&lt;&gt;"",E109&gt;D109),1,0)</f>
        <v/>
      </c>
      <c r="M100" s="5">
        <f>IF(AND(D106&lt;&gt;"",E106&lt;&gt;"",D106=E106),1,0)+IF(AND(D107&lt;&gt;"",E107&lt;&gt;"",D107=E107),1,0)+IF(AND(D109&lt;&gt;"",E109&lt;&gt;"",D109=E109),1,0)</f>
        <v/>
      </c>
      <c r="N100" s="5">
        <f>IF(AND(D106&lt;&gt;"",E106&lt;&gt;"",D106&lt;E106),1,0)+IF(AND(D107&lt;&gt;"",E107&lt;&gt;"",E107&lt;D107),1,0)+IF(AND(D109&lt;&gt;"",E109&lt;&gt;"",E109&lt;D109),1,0)</f>
        <v/>
      </c>
      <c r="O100" s="5">
        <f>IF(AND(D106&lt;&gt;"",E106&lt;&gt;""),D106,0)+IF(AND(D107&lt;&gt;"",E107&lt;&gt;""),E107,0)+IF(AND(D109&lt;&gt;"",E109&lt;&gt;""),E109,0)</f>
        <v/>
      </c>
      <c r="P100" s="5">
        <f>IF(AND(D106&lt;&gt;"",E106&lt;&gt;""),E106,0)+IF(AND(D107&lt;&gt;"",E107&lt;&gt;""),D107,0)+IF(AND(D109&lt;&gt;"",E109&lt;&gt;""),D109,0)</f>
        <v/>
      </c>
      <c r="Q100" s="5">
        <f>O100-P100</f>
        <v/>
      </c>
      <c r="R100" s="5">
        <f>3*L100+M100</f>
        <v/>
      </c>
      <c r="S100">
        <f>R100*10000000+(Q100+99)*100000+O100*100+3</f>
        <v/>
      </c>
    </row>
    <row r="101" ht="17" customHeight="1">
      <c r="I101" s="3" t="inlineStr"/>
      <c r="J101" s="4" t="inlineStr">
        <is>
          <t>Egypt</t>
        </is>
      </c>
      <c r="K101" s="5">
        <f>IF(AND(D109&lt;&gt;"",E109&lt;&gt;""),1,0)+IF(AND(D105&lt;&gt;"",E105&lt;&gt;""),1,0)+IF(AND(D108&lt;&gt;"",E108&lt;&gt;""),1,0)</f>
        <v/>
      </c>
      <c r="L101" s="5">
        <f>IF(AND(D109&lt;&gt;"",E109&lt;&gt;"",D109&gt;E109),1,0)+IF(AND(D105&lt;&gt;"",E105&lt;&gt;"",E105&gt;D105),1,0)+IF(AND(D108&lt;&gt;"",E108&lt;&gt;"",E108&gt;D108),1,0)</f>
        <v/>
      </c>
      <c r="M101" s="5">
        <f>IF(AND(D109&lt;&gt;"",E109&lt;&gt;"",D109=E109),1,0)+IF(AND(D105&lt;&gt;"",E105&lt;&gt;"",D105=E105),1,0)+IF(AND(D108&lt;&gt;"",E108&lt;&gt;"",D108=E108),1,0)</f>
        <v/>
      </c>
      <c r="N101" s="5">
        <f>IF(AND(D109&lt;&gt;"",E109&lt;&gt;"",D109&lt;E109),1,0)+IF(AND(D105&lt;&gt;"",E105&lt;&gt;"",E105&lt;D105),1,0)+IF(AND(D108&lt;&gt;"",E108&lt;&gt;"",E108&lt;D108),1,0)</f>
        <v/>
      </c>
      <c r="O101" s="5">
        <f>IF(AND(D109&lt;&gt;"",E109&lt;&gt;""),D109,0)+IF(AND(D105&lt;&gt;"",E105&lt;&gt;""),E105,0)+IF(AND(D108&lt;&gt;"",E108&lt;&gt;""),E108,0)</f>
        <v/>
      </c>
      <c r="P101" s="5">
        <f>IF(AND(D109&lt;&gt;"",E109&lt;&gt;""),E109,0)+IF(AND(D105&lt;&gt;"",E105&lt;&gt;""),D105,0)+IF(AND(D108&lt;&gt;"",E108&lt;&gt;""),D108,0)</f>
        <v/>
      </c>
      <c r="Q101" s="5">
        <f>O101-P101</f>
        <v/>
      </c>
      <c r="R101" s="5">
        <f>3*L101+M101</f>
        <v/>
      </c>
      <c r="S101">
        <f>R101*10000000+(Q101+99)*100000+O101*100+2</f>
        <v/>
      </c>
    </row>
    <row r="102" ht="17" customHeight="1">
      <c r="I102" s="3" t="inlineStr"/>
      <c r="J102" s="4" t="inlineStr">
        <is>
          <t>New Zealand</t>
        </is>
      </c>
      <c r="K102" s="5">
        <f>IF(AND(D108&lt;&gt;"",E108&lt;&gt;""),1,0)+IF(AND(D110&lt;&gt;"",E110&lt;&gt;""),1,0)+IF(AND(D106&lt;&gt;"",E106&lt;&gt;""),1,0)</f>
        <v/>
      </c>
      <c r="L102" s="5">
        <f>IF(AND(D108&lt;&gt;"",E108&lt;&gt;"",D108&gt;E108),1,0)+IF(AND(D110&lt;&gt;"",E110&lt;&gt;"",D110&gt;E110),1,0)+IF(AND(D106&lt;&gt;"",E106&lt;&gt;"",E106&gt;D106),1,0)</f>
        <v/>
      </c>
      <c r="M102" s="5">
        <f>IF(AND(D108&lt;&gt;"",E108&lt;&gt;"",D108=E108),1,0)+IF(AND(D110&lt;&gt;"",E110&lt;&gt;"",D110=E110),1,0)+IF(AND(D106&lt;&gt;"",E106&lt;&gt;"",D106=E106),1,0)</f>
        <v/>
      </c>
      <c r="N102" s="5">
        <f>IF(AND(D108&lt;&gt;"",E108&lt;&gt;"",D108&lt;E108),1,0)+IF(AND(D110&lt;&gt;"",E110&lt;&gt;"",D110&lt;E110),1,0)+IF(AND(D106&lt;&gt;"",E106&lt;&gt;"",E106&lt;D106),1,0)</f>
        <v/>
      </c>
      <c r="O102" s="5">
        <f>IF(AND(D108&lt;&gt;"",E108&lt;&gt;""),D108,0)+IF(AND(D110&lt;&gt;"",E110&lt;&gt;""),D110,0)+IF(AND(D106&lt;&gt;"",E106&lt;&gt;""),E106,0)</f>
        <v/>
      </c>
      <c r="P102" s="5">
        <f>IF(AND(D108&lt;&gt;"",E108&lt;&gt;""),E108,0)+IF(AND(D110&lt;&gt;"",E110&lt;&gt;""),E110,0)+IF(AND(D106&lt;&gt;"",E106&lt;&gt;""),D106,0)</f>
        <v/>
      </c>
      <c r="Q102" s="5">
        <f>O102-P102</f>
        <v/>
      </c>
      <c r="R102" s="5">
        <f>3*L102+M102</f>
        <v/>
      </c>
      <c r="S102">
        <f>R102*10000000+(Q102+99)*100000+O102*100+1</f>
        <v/>
      </c>
    </row>
    <row r="103"/>
    <row r="104" ht="16" customHeight="1">
      <c r="A104" s="6" t="inlineStr">
        <is>
          <t>MD</t>
        </is>
      </c>
      <c r="B104" s="6" t="inlineStr">
        <is>
          <t>Date / Time (ET)</t>
        </is>
      </c>
      <c r="C104" s="6" t="inlineStr">
        <is>
          <t>Home Team</t>
        </is>
      </c>
      <c r="D104" s="6" t="inlineStr">
        <is>
          <t>G</t>
        </is>
      </c>
      <c r="E104" s="6" t="inlineStr">
        <is>
          <t>G</t>
        </is>
      </c>
      <c r="F104" s="6" t="inlineStr">
        <is>
          <t>Away Team</t>
        </is>
      </c>
      <c r="G104" s="6" t="inlineStr">
        <is>
          <t>Venue</t>
        </is>
      </c>
    </row>
    <row r="105" ht="20" customHeight="1">
      <c r="A105" s="7" t="n">
        <v>1</v>
      </c>
      <c r="B105" s="8" t="inlineStr">
        <is>
          <t>Jun 15 · 3 pm ET</t>
        </is>
      </c>
      <c r="C105" s="9" t="inlineStr">
        <is>
          <t>Belgium</t>
        </is>
      </c>
      <c r="D105" s="10">
        <f>RANDBETWEEN(0,4)</f>
        <v/>
      </c>
      <c r="E105" s="10">
        <f>RANDBETWEEN(0,4)</f>
        <v/>
      </c>
      <c r="F105" s="9" t="inlineStr">
        <is>
          <t>Egypt</t>
        </is>
      </c>
      <c r="G105" s="11" t="inlineStr">
        <is>
          <t>Seattle</t>
        </is>
      </c>
    </row>
    <row r="106" ht="20" customHeight="1">
      <c r="A106" s="7" t="n">
        <v>1</v>
      </c>
      <c r="B106" s="8" t="inlineStr">
        <is>
          <t>Jun 15 · 9 pm ET</t>
        </is>
      </c>
      <c r="C106" s="9" t="inlineStr">
        <is>
          <t>Iran</t>
        </is>
      </c>
      <c r="D106" s="10">
        <f>RANDBETWEEN(0,4)</f>
        <v/>
      </c>
      <c r="E106" s="10">
        <f>RANDBETWEEN(0,4)</f>
        <v/>
      </c>
      <c r="F106" s="9" t="inlineStr">
        <is>
          <t>New Zealand</t>
        </is>
      </c>
      <c r="G106" s="11" t="inlineStr">
        <is>
          <t>Los Angeles</t>
        </is>
      </c>
    </row>
    <row r="107" ht="20" customHeight="1">
      <c r="A107" s="7" t="n">
        <v>2</v>
      </c>
      <c r="B107" s="8" t="inlineStr">
        <is>
          <t>Jun 21 · 3 pm ET</t>
        </is>
      </c>
      <c r="C107" s="9" t="inlineStr">
        <is>
          <t>Belgium</t>
        </is>
      </c>
      <c r="D107" s="10">
        <f>RANDBETWEEN(0,4)</f>
        <v/>
      </c>
      <c r="E107" s="10">
        <f>RANDBETWEEN(0,4)</f>
        <v/>
      </c>
      <c r="F107" s="9" t="inlineStr">
        <is>
          <t>Iran</t>
        </is>
      </c>
      <c r="G107" s="11" t="inlineStr">
        <is>
          <t>Los Angeles</t>
        </is>
      </c>
    </row>
    <row r="108" ht="20" customHeight="1">
      <c r="A108" s="7" t="n">
        <v>2</v>
      </c>
      <c r="B108" s="8" t="inlineStr">
        <is>
          <t>Jun 21 · 9 pm ET</t>
        </is>
      </c>
      <c r="C108" s="9" t="inlineStr">
        <is>
          <t>New Zealand</t>
        </is>
      </c>
      <c r="D108" s="10">
        <f>RANDBETWEEN(0,4)</f>
        <v/>
      </c>
      <c r="E108" s="10">
        <f>RANDBETWEEN(0,4)</f>
        <v/>
      </c>
      <c r="F108" s="9" t="inlineStr">
        <is>
          <t>Egypt</t>
        </is>
      </c>
      <c r="G108" s="11" t="inlineStr">
        <is>
          <t>Vancouver</t>
        </is>
      </c>
    </row>
    <row r="109" ht="20" customHeight="1">
      <c r="A109" s="7" t="n">
        <v>3</v>
      </c>
      <c r="B109" s="8" t="inlineStr">
        <is>
          <t>Jun 26 · 11 pm ET</t>
        </is>
      </c>
      <c r="C109" s="9" t="inlineStr">
        <is>
          <t>Egypt</t>
        </is>
      </c>
      <c r="D109" s="10">
        <f>RANDBETWEEN(0,4)</f>
        <v/>
      </c>
      <c r="E109" s="10">
        <f>RANDBETWEEN(0,4)</f>
        <v/>
      </c>
      <c r="F109" s="9" t="inlineStr">
        <is>
          <t>Iran</t>
        </is>
      </c>
      <c r="G109" s="11" t="inlineStr">
        <is>
          <t>Seattle</t>
        </is>
      </c>
    </row>
    <row r="110" ht="20" customHeight="1">
      <c r="A110" s="7" t="n">
        <v>3</v>
      </c>
      <c r="B110" s="8" t="inlineStr">
        <is>
          <t>Jun 26 · 11 pm ET</t>
        </is>
      </c>
      <c r="C110" s="9" t="inlineStr">
        <is>
          <t>New Zealand</t>
        </is>
      </c>
      <c r="D110" s="10">
        <f>RANDBETWEEN(0,4)</f>
        <v/>
      </c>
      <c r="E110" s="10">
        <f>RANDBETWEEN(0,4)</f>
        <v/>
      </c>
      <c r="F110" s="9" t="inlineStr">
        <is>
          <t>Belgium</t>
        </is>
      </c>
      <c r="G110" s="11" t="inlineStr">
        <is>
          <t>Vancouver</t>
        </is>
      </c>
    </row>
    <row r="111"/>
    <row r="112"/>
    <row r="113" ht="24" customHeight="1">
      <c r="A113" s="12" t="inlineStr">
        <is>
          <t xml:space="preserve">  GROUP H</t>
        </is>
      </c>
    </row>
    <row r="114" ht="16" customHeight="1">
      <c r="I114" s="2" t="inlineStr">
        <is>
          <t>#</t>
        </is>
      </c>
      <c r="J114" s="2" t="inlineStr">
        <is>
          <t>Team</t>
        </is>
      </c>
      <c r="K114" s="2" t="inlineStr">
        <is>
          <t>GP</t>
        </is>
      </c>
      <c r="L114" s="2" t="inlineStr">
        <is>
          <t>W</t>
        </is>
      </c>
      <c r="M114" s="2" t="inlineStr">
        <is>
          <t>D</t>
        </is>
      </c>
      <c r="N114" s="2" t="inlineStr">
        <is>
          <t>L</t>
        </is>
      </c>
      <c r="O114" s="2" t="inlineStr">
        <is>
          <t>GF</t>
        </is>
      </c>
      <c r="P114" s="2" t="inlineStr">
        <is>
          <t>GA</t>
        </is>
      </c>
      <c r="Q114" s="2" t="inlineStr">
        <is>
          <t>GD</t>
        </is>
      </c>
      <c r="R114" s="2" t="inlineStr">
        <is>
          <t>Pts</t>
        </is>
      </c>
    </row>
    <row r="115" ht="17" customHeight="1">
      <c r="I115" s="3" t="inlineStr"/>
      <c r="J115" s="4" t="inlineStr">
        <is>
          <t>Spain</t>
        </is>
      </c>
      <c r="K115" s="5">
        <f>IF(AND(D121&lt;&gt;"",E121&lt;&gt;""),1,0)+IF(AND(D123&lt;&gt;"",E123&lt;&gt;""),1,0)+IF(AND(D126&lt;&gt;"",E126&lt;&gt;""),1,0)</f>
        <v/>
      </c>
      <c r="L115" s="5">
        <f>IF(AND(D121&lt;&gt;"",E121&lt;&gt;"",D121&gt;E121),1,0)+IF(AND(D123&lt;&gt;"",E123&lt;&gt;"",D123&gt;E123),1,0)+IF(AND(D126&lt;&gt;"",E126&lt;&gt;"",E126&gt;D126),1,0)</f>
        <v/>
      </c>
      <c r="M115" s="5">
        <f>IF(AND(D121&lt;&gt;"",E121&lt;&gt;"",D121=E121),1,0)+IF(AND(D123&lt;&gt;"",E123&lt;&gt;"",D123=E123),1,0)+IF(AND(D126&lt;&gt;"",E126&lt;&gt;"",D126=E126),1,0)</f>
        <v/>
      </c>
      <c r="N115" s="5">
        <f>IF(AND(D121&lt;&gt;"",E121&lt;&gt;"",D121&lt;E121),1,0)+IF(AND(D123&lt;&gt;"",E123&lt;&gt;"",D123&lt;E123),1,0)+IF(AND(D126&lt;&gt;"",E126&lt;&gt;"",E126&lt;D126),1,0)</f>
        <v/>
      </c>
      <c r="O115" s="5">
        <f>IF(AND(D121&lt;&gt;"",E121&lt;&gt;""),D121,0)+IF(AND(D123&lt;&gt;"",E123&lt;&gt;""),D123,0)+IF(AND(D126&lt;&gt;"",E126&lt;&gt;""),E126,0)</f>
        <v/>
      </c>
      <c r="P115" s="5">
        <f>IF(AND(D121&lt;&gt;"",E121&lt;&gt;""),E121,0)+IF(AND(D123&lt;&gt;"",E123&lt;&gt;""),E123,0)+IF(AND(D126&lt;&gt;"",E126&lt;&gt;""),D126,0)</f>
        <v/>
      </c>
      <c r="Q115" s="5">
        <f>O115-P115</f>
        <v/>
      </c>
      <c r="R115" s="5">
        <f>3*L115+M115</f>
        <v/>
      </c>
      <c r="S115">
        <f>R115*10000000+(Q115+99)*100000+O115*100+4</f>
        <v/>
      </c>
    </row>
    <row r="116" ht="17" customHeight="1">
      <c r="I116" s="3" t="inlineStr"/>
      <c r="J116" s="4" t="inlineStr">
        <is>
          <t>Uruguay</t>
        </is>
      </c>
      <c r="K116" s="5">
        <f>IF(AND(D124&lt;&gt;"",E124&lt;&gt;""),1,0)+IF(AND(D126&lt;&gt;"",E126&lt;&gt;""),1,0)+IF(AND(D122&lt;&gt;"",E122&lt;&gt;""),1,0)</f>
        <v/>
      </c>
      <c r="L116" s="5">
        <f>IF(AND(D124&lt;&gt;"",E124&lt;&gt;"",D124&gt;E124),1,0)+IF(AND(D126&lt;&gt;"",E126&lt;&gt;"",D126&gt;E126),1,0)+IF(AND(D122&lt;&gt;"",E122&lt;&gt;"",E122&gt;D122),1,0)</f>
        <v/>
      </c>
      <c r="M116" s="5">
        <f>IF(AND(D124&lt;&gt;"",E124&lt;&gt;"",D124=E124),1,0)+IF(AND(D126&lt;&gt;"",E126&lt;&gt;"",D126=E126),1,0)+IF(AND(D122&lt;&gt;"",E122&lt;&gt;"",D122=E122),1,0)</f>
        <v/>
      </c>
      <c r="N116" s="5">
        <f>IF(AND(D124&lt;&gt;"",E124&lt;&gt;"",D124&lt;E124),1,0)+IF(AND(D126&lt;&gt;"",E126&lt;&gt;"",D126&lt;E126),1,0)+IF(AND(D122&lt;&gt;"",E122&lt;&gt;"",E122&lt;D122),1,0)</f>
        <v/>
      </c>
      <c r="O116" s="5">
        <f>IF(AND(D124&lt;&gt;"",E124&lt;&gt;""),D124,0)+IF(AND(D126&lt;&gt;"",E126&lt;&gt;""),D126,0)+IF(AND(D122&lt;&gt;"",E122&lt;&gt;""),E122,0)</f>
        <v/>
      </c>
      <c r="P116" s="5">
        <f>IF(AND(D124&lt;&gt;"",E124&lt;&gt;""),E124,0)+IF(AND(D126&lt;&gt;"",E126&lt;&gt;""),E126,0)+IF(AND(D122&lt;&gt;"",E122&lt;&gt;""),D122,0)</f>
        <v/>
      </c>
      <c r="Q116" s="5">
        <f>O116-P116</f>
        <v/>
      </c>
      <c r="R116" s="5">
        <f>3*L116+M116</f>
        <v/>
      </c>
      <c r="S116">
        <f>R116*10000000+(Q116+99)*100000+O116*100+3</f>
        <v/>
      </c>
    </row>
    <row r="117" ht="17" customHeight="1">
      <c r="I117" s="3" t="inlineStr"/>
      <c r="J117" s="4" t="inlineStr">
        <is>
          <t>Cape Verde</t>
        </is>
      </c>
      <c r="K117" s="5">
        <f>IF(AND(D125&lt;&gt;"",E125&lt;&gt;""),1,0)+IF(AND(D121&lt;&gt;"",E121&lt;&gt;""),1,0)+IF(AND(D124&lt;&gt;"",E124&lt;&gt;""),1,0)</f>
        <v/>
      </c>
      <c r="L117" s="5">
        <f>IF(AND(D125&lt;&gt;"",E125&lt;&gt;"",D125&gt;E125),1,0)+IF(AND(D121&lt;&gt;"",E121&lt;&gt;"",E121&gt;D121),1,0)+IF(AND(D124&lt;&gt;"",E124&lt;&gt;"",E124&gt;D124),1,0)</f>
        <v/>
      </c>
      <c r="M117" s="5">
        <f>IF(AND(D125&lt;&gt;"",E125&lt;&gt;"",D125=E125),1,0)+IF(AND(D121&lt;&gt;"",E121&lt;&gt;"",D121=E121),1,0)+IF(AND(D124&lt;&gt;"",E124&lt;&gt;"",D124=E124),1,0)</f>
        <v/>
      </c>
      <c r="N117" s="5">
        <f>IF(AND(D125&lt;&gt;"",E125&lt;&gt;"",D125&lt;E125),1,0)+IF(AND(D121&lt;&gt;"",E121&lt;&gt;"",E121&lt;D121),1,0)+IF(AND(D124&lt;&gt;"",E124&lt;&gt;"",E124&lt;D124),1,0)</f>
        <v/>
      </c>
      <c r="O117" s="5">
        <f>IF(AND(D125&lt;&gt;"",E125&lt;&gt;""),D125,0)+IF(AND(D121&lt;&gt;"",E121&lt;&gt;""),E121,0)+IF(AND(D124&lt;&gt;"",E124&lt;&gt;""),E124,0)</f>
        <v/>
      </c>
      <c r="P117" s="5">
        <f>IF(AND(D125&lt;&gt;"",E125&lt;&gt;""),E125,0)+IF(AND(D121&lt;&gt;"",E121&lt;&gt;""),D121,0)+IF(AND(D124&lt;&gt;"",E124&lt;&gt;""),D124,0)</f>
        <v/>
      </c>
      <c r="Q117" s="5">
        <f>O117-P117</f>
        <v/>
      </c>
      <c r="R117" s="5">
        <f>3*L117+M117</f>
        <v/>
      </c>
      <c r="S117">
        <f>R117*10000000+(Q117+99)*100000+O117*100+2</f>
        <v/>
      </c>
    </row>
    <row r="118" ht="17" customHeight="1">
      <c r="I118" s="3" t="inlineStr"/>
      <c r="J118" s="4" t="inlineStr">
        <is>
          <t>Saudi Arabia</t>
        </is>
      </c>
      <c r="K118" s="5">
        <f>IF(AND(D122&lt;&gt;"",E122&lt;&gt;""),1,0)+IF(AND(D123&lt;&gt;"",E123&lt;&gt;""),1,0)+IF(AND(D125&lt;&gt;"",E125&lt;&gt;""),1,0)</f>
        <v/>
      </c>
      <c r="L118" s="5">
        <f>IF(AND(D122&lt;&gt;"",E122&lt;&gt;"",D122&gt;E122),1,0)+IF(AND(D123&lt;&gt;"",E123&lt;&gt;"",E123&gt;D123),1,0)+IF(AND(D125&lt;&gt;"",E125&lt;&gt;"",E125&gt;D125),1,0)</f>
        <v/>
      </c>
      <c r="M118" s="5">
        <f>IF(AND(D122&lt;&gt;"",E122&lt;&gt;"",D122=E122),1,0)+IF(AND(D123&lt;&gt;"",E123&lt;&gt;"",D123=E123),1,0)+IF(AND(D125&lt;&gt;"",E125&lt;&gt;"",D125=E125),1,0)</f>
        <v/>
      </c>
      <c r="N118" s="5">
        <f>IF(AND(D122&lt;&gt;"",E122&lt;&gt;"",D122&lt;E122),1,0)+IF(AND(D123&lt;&gt;"",E123&lt;&gt;"",E123&lt;D123),1,0)+IF(AND(D125&lt;&gt;"",E125&lt;&gt;"",E125&lt;D125),1,0)</f>
        <v/>
      </c>
      <c r="O118" s="5">
        <f>IF(AND(D122&lt;&gt;"",E122&lt;&gt;""),D122,0)+IF(AND(D123&lt;&gt;"",E123&lt;&gt;""),E123,0)+IF(AND(D125&lt;&gt;"",E125&lt;&gt;""),E125,0)</f>
        <v/>
      </c>
      <c r="P118" s="5">
        <f>IF(AND(D122&lt;&gt;"",E122&lt;&gt;""),E122,0)+IF(AND(D123&lt;&gt;"",E123&lt;&gt;""),D123,0)+IF(AND(D125&lt;&gt;"",E125&lt;&gt;""),D125,0)</f>
        <v/>
      </c>
      <c r="Q118" s="5">
        <f>O118-P118</f>
        <v/>
      </c>
      <c r="R118" s="5">
        <f>3*L118+M118</f>
        <v/>
      </c>
      <c r="S118">
        <f>R118*10000000+(Q118+99)*100000+O118*100+1</f>
        <v/>
      </c>
    </row>
    <row r="119"/>
    <row r="120" ht="16" customHeight="1">
      <c r="A120" s="6" t="inlineStr">
        <is>
          <t>MD</t>
        </is>
      </c>
      <c r="B120" s="6" t="inlineStr">
        <is>
          <t>Date / Time (ET)</t>
        </is>
      </c>
      <c r="C120" s="6" t="inlineStr">
        <is>
          <t>Home Team</t>
        </is>
      </c>
      <c r="D120" s="6" t="inlineStr">
        <is>
          <t>G</t>
        </is>
      </c>
      <c r="E120" s="6" t="inlineStr">
        <is>
          <t>G</t>
        </is>
      </c>
      <c r="F120" s="6" t="inlineStr">
        <is>
          <t>Away Team</t>
        </is>
      </c>
      <c r="G120" s="6" t="inlineStr">
        <is>
          <t>Venue</t>
        </is>
      </c>
    </row>
    <row r="121" ht="20" customHeight="1">
      <c r="A121" s="7" t="n">
        <v>1</v>
      </c>
      <c r="B121" s="8" t="inlineStr">
        <is>
          <t>Jun 15 · 12 pm ET</t>
        </is>
      </c>
      <c r="C121" s="9" t="inlineStr">
        <is>
          <t>Spain</t>
        </is>
      </c>
      <c r="D121" s="10">
        <f>RANDBETWEEN(0,4)</f>
        <v/>
      </c>
      <c r="E121" s="10">
        <f>RANDBETWEEN(0,4)</f>
        <v/>
      </c>
      <c r="F121" s="9" t="inlineStr">
        <is>
          <t>Cape Verde</t>
        </is>
      </c>
      <c r="G121" s="11" t="inlineStr">
        <is>
          <t>Atlanta</t>
        </is>
      </c>
    </row>
    <row r="122" ht="20" customHeight="1">
      <c r="A122" s="7" t="n">
        <v>1</v>
      </c>
      <c r="B122" s="8" t="inlineStr">
        <is>
          <t>Jun 15 · 6 pm ET</t>
        </is>
      </c>
      <c r="C122" s="9" t="inlineStr">
        <is>
          <t>Saudi Arabia</t>
        </is>
      </c>
      <c r="D122" s="10">
        <f>RANDBETWEEN(0,4)</f>
        <v/>
      </c>
      <c r="E122" s="10">
        <f>RANDBETWEEN(0,4)</f>
        <v/>
      </c>
      <c r="F122" s="9" t="inlineStr">
        <is>
          <t>Uruguay</t>
        </is>
      </c>
      <c r="G122" s="11" t="inlineStr">
        <is>
          <t>Miami</t>
        </is>
      </c>
    </row>
    <row r="123" ht="20" customHeight="1">
      <c r="A123" s="7" t="n">
        <v>2</v>
      </c>
      <c r="B123" s="8" t="inlineStr">
        <is>
          <t>Jun 21 · 12 pm ET</t>
        </is>
      </c>
      <c r="C123" s="9" t="inlineStr">
        <is>
          <t>Spain</t>
        </is>
      </c>
      <c r="D123" s="10">
        <f>RANDBETWEEN(0,4)</f>
        <v/>
      </c>
      <c r="E123" s="10">
        <f>RANDBETWEEN(0,4)</f>
        <v/>
      </c>
      <c r="F123" s="9" t="inlineStr">
        <is>
          <t>Saudi Arabia</t>
        </is>
      </c>
      <c r="G123" s="11" t="inlineStr">
        <is>
          <t>Atlanta</t>
        </is>
      </c>
    </row>
    <row r="124" ht="20" customHeight="1">
      <c r="A124" s="7" t="n">
        <v>2</v>
      </c>
      <c r="B124" s="8" t="inlineStr">
        <is>
          <t>Jun 21 · 6 pm ET</t>
        </is>
      </c>
      <c r="C124" s="9" t="inlineStr">
        <is>
          <t>Uruguay</t>
        </is>
      </c>
      <c r="D124" s="10">
        <f>RANDBETWEEN(0,4)</f>
        <v/>
      </c>
      <c r="E124" s="10">
        <f>RANDBETWEEN(0,4)</f>
        <v/>
      </c>
      <c r="F124" s="9" t="inlineStr">
        <is>
          <t>Cape Verde</t>
        </is>
      </c>
      <c r="G124" s="11" t="inlineStr">
        <is>
          <t>Miami</t>
        </is>
      </c>
    </row>
    <row r="125" ht="20" customHeight="1">
      <c r="A125" s="7" t="n">
        <v>3</v>
      </c>
      <c r="B125" s="8" t="inlineStr">
        <is>
          <t>Jun 26 · 8 pm ET</t>
        </is>
      </c>
      <c r="C125" s="9" t="inlineStr">
        <is>
          <t>Cape Verde</t>
        </is>
      </c>
      <c r="D125" s="10">
        <f>RANDBETWEEN(0,4)</f>
        <v/>
      </c>
      <c r="E125" s="10">
        <f>RANDBETWEEN(0,4)</f>
        <v/>
      </c>
      <c r="F125" s="9" t="inlineStr">
        <is>
          <t>Saudi Arabia</t>
        </is>
      </c>
      <c r="G125" s="11" t="inlineStr">
        <is>
          <t>Houston</t>
        </is>
      </c>
    </row>
    <row r="126" ht="20" customHeight="1">
      <c r="A126" s="7" t="n">
        <v>3</v>
      </c>
      <c r="B126" s="8" t="inlineStr">
        <is>
          <t>Jun 26 · 8 pm ET</t>
        </is>
      </c>
      <c r="C126" s="9" t="inlineStr">
        <is>
          <t>Uruguay</t>
        </is>
      </c>
      <c r="D126" s="10">
        <f>RANDBETWEEN(0,4)</f>
        <v/>
      </c>
      <c r="E126" s="10">
        <f>RANDBETWEEN(0,4)</f>
        <v/>
      </c>
      <c r="F126" s="9" t="inlineStr">
        <is>
          <t>Spain</t>
        </is>
      </c>
      <c r="G126" s="11" t="inlineStr">
        <is>
          <t>Guadalajara</t>
        </is>
      </c>
    </row>
    <row r="127"/>
    <row r="128"/>
    <row r="129" ht="24" customHeight="1">
      <c r="A129" s="1" t="inlineStr">
        <is>
          <t xml:space="preserve">  GROUP I  ·  Allez les bleus! 🇫🇷</t>
        </is>
      </c>
    </row>
    <row r="130" ht="16" customHeight="1">
      <c r="I130" s="2" t="inlineStr">
        <is>
          <t>#</t>
        </is>
      </c>
      <c r="J130" s="2" t="inlineStr">
        <is>
          <t>Team</t>
        </is>
      </c>
      <c r="K130" s="2" t="inlineStr">
        <is>
          <t>GP</t>
        </is>
      </c>
      <c r="L130" s="2" t="inlineStr">
        <is>
          <t>W</t>
        </is>
      </c>
      <c r="M130" s="2" t="inlineStr">
        <is>
          <t>D</t>
        </is>
      </c>
      <c r="N130" s="2" t="inlineStr">
        <is>
          <t>L</t>
        </is>
      </c>
      <c r="O130" s="2" t="inlineStr">
        <is>
          <t>GF</t>
        </is>
      </c>
      <c r="P130" s="2" t="inlineStr">
        <is>
          <t>GA</t>
        </is>
      </c>
      <c r="Q130" s="2" t="inlineStr">
        <is>
          <t>GD</t>
        </is>
      </c>
      <c r="R130" s="2" t="inlineStr">
        <is>
          <t>Pts</t>
        </is>
      </c>
    </row>
    <row r="131" ht="17" customHeight="1">
      <c r="I131" s="3" t="inlineStr"/>
      <c r="J131" s="4" t="inlineStr">
        <is>
          <t>France</t>
        </is>
      </c>
      <c r="K131" s="5">
        <f>IF(AND(D137&lt;&gt;"",E137&lt;&gt;""),1,0)+IF(AND(D139&lt;&gt;"",E139&lt;&gt;""),1,0)+IF(AND(D141&lt;&gt;"",E141&lt;&gt;""),1,0)</f>
        <v/>
      </c>
      <c r="L131" s="5">
        <f>IF(AND(D137&lt;&gt;"",E137&lt;&gt;"",D137&gt;E137),1,0)+IF(AND(D139&lt;&gt;"",E139&lt;&gt;"",D139&gt;E139),1,0)+IF(AND(D141&lt;&gt;"",E141&lt;&gt;"",E141&gt;D141),1,0)</f>
        <v/>
      </c>
      <c r="M131" s="5">
        <f>IF(AND(D137&lt;&gt;"",E137&lt;&gt;"",D137=E137),1,0)+IF(AND(D139&lt;&gt;"",E139&lt;&gt;"",D139=E139),1,0)+IF(AND(D141&lt;&gt;"",E141&lt;&gt;"",D141=E141),1,0)</f>
        <v/>
      </c>
      <c r="N131" s="5">
        <f>IF(AND(D137&lt;&gt;"",E137&lt;&gt;"",D137&lt;E137),1,0)+IF(AND(D139&lt;&gt;"",E139&lt;&gt;"",D139&lt;E139),1,0)+IF(AND(D141&lt;&gt;"",E141&lt;&gt;"",E141&lt;D141),1,0)</f>
        <v/>
      </c>
      <c r="O131" s="5">
        <f>IF(AND(D137&lt;&gt;"",E137&lt;&gt;""),D137,0)+IF(AND(D139&lt;&gt;"",E139&lt;&gt;""),D139,0)+IF(AND(D141&lt;&gt;"",E141&lt;&gt;""),E141,0)</f>
        <v/>
      </c>
      <c r="P131" s="5">
        <f>IF(AND(D137&lt;&gt;"",E137&lt;&gt;""),E137,0)+IF(AND(D139&lt;&gt;"",E139&lt;&gt;""),E139,0)+IF(AND(D141&lt;&gt;"",E141&lt;&gt;""),D141,0)</f>
        <v/>
      </c>
      <c r="Q131" s="5">
        <f>O131-P131</f>
        <v/>
      </c>
      <c r="R131" s="5">
        <f>3*L131+M131</f>
        <v/>
      </c>
      <c r="S131">
        <f>R131*10000000+(Q131+99)*100000+O131*100+4</f>
        <v/>
      </c>
    </row>
    <row r="132" ht="17" customHeight="1">
      <c r="I132" s="3" t="inlineStr"/>
      <c r="J132" s="4" t="inlineStr">
        <is>
          <t>Senegal</t>
        </is>
      </c>
      <c r="K132" s="5">
        <f>IF(AND(D142&lt;&gt;"",E142&lt;&gt;""),1,0)+IF(AND(D137&lt;&gt;"",E137&lt;&gt;""),1,0)+IF(AND(D140&lt;&gt;"",E140&lt;&gt;""),1,0)</f>
        <v/>
      </c>
      <c r="L132" s="5">
        <f>IF(AND(D142&lt;&gt;"",E142&lt;&gt;"",D142&gt;E142),1,0)+IF(AND(D137&lt;&gt;"",E137&lt;&gt;"",E137&gt;D137),1,0)+IF(AND(D140&lt;&gt;"",E140&lt;&gt;"",E140&gt;D140),1,0)</f>
        <v/>
      </c>
      <c r="M132" s="5">
        <f>IF(AND(D142&lt;&gt;"",E142&lt;&gt;"",D142=E142),1,0)+IF(AND(D137&lt;&gt;"",E137&lt;&gt;"",D137=E137),1,0)+IF(AND(D140&lt;&gt;"",E140&lt;&gt;"",D140=E140),1,0)</f>
        <v/>
      </c>
      <c r="N132" s="5">
        <f>IF(AND(D142&lt;&gt;"",E142&lt;&gt;"",D142&lt;E142),1,0)+IF(AND(D137&lt;&gt;"",E137&lt;&gt;"",E137&lt;D137),1,0)+IF(AND(D140&lt;&gt;"",E140&lt;&gt;"",E140&lt;D140),1,0)</f>
        <v/>
      </c>
      <c r="O132" s="5">
        <f>IF(AND(D142&lt;&gt;"",E142&lt;&gt;""),D142,0)+IF(AND(D137&lt;&gt;"",E137&lt;&gt;""),E137,0)+IF(AND(D140&lt;&gt;"",E140&lt;&gt;""),E140,0)</f>
        <v/>
      </c>
      <c r="P132" s="5">
        <f>IF(AND(D142&lt;&gt;"",E142&lt;&gt;""),E142,0)+IF(AND(D137&lt;&gt;"",E137&lt;&gt;""),D137,0)+IF(AND(D140&lt;&gt;"",E140&lt;&gt;""),D140,0)</f>
        <v/>
      </c>
      <c r="Q132" s="5">
        <f>O132-P132</f>
        <v/>
      </c>
      <c r="R132" s="5">
        <f>3*L132+M132</f>
        <v/>
      </c>
      <c r="S132">
        <f>R132*10000000+(Q132+99)*100000+O132*100+3</f>
        <v/>
      </c>
    </row>
    <row r="133" ht="17" customHeight="1">
      <c r="I133" s="3" t="inlineStr"/>
      <c r="J133" s="4" t="inlineStr">
        <is>
          <t>Norway</t>
        </is>
      </c>
      <c r="K133" s="5">
        <f>IF(AND(D140&lt;&gt;"",E140&lt;&gt;""),1,0)+IF(AND(D141&lt;&gt;"",E141&lt;&gt;""),1,0)+IF(AND(D138&lt;&gt;"",E138&lt;&gt;""),1,0)</f>
        <v/>
      </c>
      <c r="L133" s="5">
        <f>IF(AND(D140&lt;&gt;"",E140&lt;&gt;"",D140&gt;E140),1,0)+IF(AND(D141&lt;&gt;"",E141&lt;&gt;"",D141&gt;E141),1,0)+IF(AND(D138&lt;&gt;"",E138&lt;&gt;"",E138&gt;D138),1,0)</f>
        <v/>
      </c>
      <c r="M133" s="5">
        <f>IF(AND(D140&lt;&gt;"",E140&lt;&gt;"",D140=E140),1,0)+IF(AND(D141&lt;&gt;"",E141&lt;&gt;"",D141=E141),1,0)+IF(AND(D138&lt;&gt;"",E138&lt;&gt;"",D138=E138),1,0)</f>
        <v/>
      </c>
      <c r="N133" s="5">
        <f>IF(AND(D140&lt;&gt;"",E140&lt;&gt;"",D140&lt;E140),1,0)+IF(AND(D141&lt;&gt;"",E141&lt;&gt;"",D141&lt;E141),1,0)+IF(AND(D138&lt;&gt;"",E138&lt;&gt;"",E138&lt;D138),1,0)</f>
        <v/>
      </c>
      <c r="O133" s="5">
        <f>IF(AND(D140&lt;&gt;"",E140&lt;&gt;""),D140,0)+IF(AND(D141&lt;&gt;"",E141&lt;&gt;""),D141,0)+IF(AND(D138&lt;&gt;"",E138&lt;&gt;""),E138,0)</f>
        <v/>
      </c>
      <c r="P133" s="5">
        <f>IF(AND(D140&lt;&gt;"",E140&lt;&gt;""),E140,0)+IF(AND(D141&lt;&gt;"",E141&lt;&gt;""),E141,0)+IF(AND(D138&lt;&gt;"",E138&lt;&gt;""),D138,0)</f>
        <v/>
      </c>
      <c r="Q133" s="5">
        <f>O133-P133</f>
        <v/>
      </c>
      <c r="R133" s="5">
        <f>3*L133+M133</f>
        <v/>
      </c>
      <c r="S133">
        <f>R133*10000000+(Q133+99)*100000+O133*100+2</f>
        <v/>
      </c>
    </row>
    <row r="134" ht="17" customHeight="1">
      <c r="I134" s="3" t="inlineStr"/>
      <c r="J134" s="4" t="inlineStr">
        <is>
          <t>Iraq</t>
        </is>
      </c>
      <c r="K134" s="5">
        <f>IF(AND(D138&lt;&gt;"",E138&lt;&gt;""),1,0)+IF(AND(D139&lt;&gt;"",E139&lt;&gt;""),1,0)+IF(AND(D142&lt;&gt;"",E142&lt;&gt;""),1,0)</f>
        <v/>
      </c>
      <c r="L134" s="5">
        <f>IF(AND(D138&lt;&gt;"",E138&lt;&gt;"",D138&gt;E138),1,0)+IF(AND(D139&lt;&gt;"",E139&lt;&gt;"",E139&gt;D139),1,0)+IF(AND(D142&lt;&gt;"",E142&lt;&gt;"",E142&gt;D142),1,0)</f>
        <v/>
      </c>
      <c r="M134" s="5">
        <f>IF(AND(D138&lt;&gt;"",E138&lt;&gt;"",D138=E138),1,0)+IF(AND(D139&lt;&gt;"",E139&lt;&gt;"",D139=E139),1,0)+IF(AND(D142&lt;&gt;"",E142&lt;&gt;"",D142=E142),1,0)</f>
        <v/>
      </c>
      <c r="N134" s="5">
        <f>IF(AND(D138&lt;&gt;"",E138&lt;&gt;"",D138&lt;E138),1,0)+IF(AND(D139&lt;&gt;"",E139&lt;&gt;"",E139&lt;D139),1,0)+IF(AND(D142&lt;&gt;"",E142&lt;&gt;"",E142&lt;D142),1,0)</f>
        <v/>
      </c>
      <c r="O134" s="5">
        <f>IF(AND(D138&lt;&gt;"",E138&lt;&gt;""),D138,0)+IF(AND(D139&lt;&gt;"",E139&lt;&gt;""),E139,0)+IF(AND(D142&lt;&gt;"",E142&lt;&gt;""),E142,0)</f>
        <v/>
      </c>
      <c r="P134" s="5">
        <f>IF(AND(D138&lt;&gt;"",E138&lt;&gt;""),E138,0)+IF(AND(D139&lt;&gt;"",E139&lt;&gt;""),D139,0)+IF(AND(D142&lt;&gt;"",E142&lt;&gt;""),D142,0)</f>
        <v/>
      </c>
      <c r="Q134" s="5">
        <f>O134-P134</f>
        <v/>
      </c>
      <c r="R134" s="5">
        <f>3*L134+M134</f>
        <v/>
      </c>
      <c r="S134">
        <f>R134*10000000+(Q134+99)*100000+O134*100+1</f>
        <v/>
      </c>
    </row>
    <row r="135"/>
    <row r="136" ht="16" customHeight="1">
      <c r="A136" s="6" t="inlineStr">
        <is>
          <t>MD</t>
        </is>
      </c>
      <c r="B136" s="6" t="inlineStr">
        <is>
          <t>Date / Time (ET)</t>
        </is>
      </c>
      <c r="C136" s="6" t="inlineStr">
        <is>
          <t>Home Team</t>
        </is>
      </c>
      <c r="D136" s="6" t="inlineStr">
        <is>
          <t>G</t>
        </is>
      </c>
      <c r="E136" s="6" t="inlineStr">
        <is>
          <t>G</t>
        </is>
      </c>
      <c r="F136" s="6" t="inlineStr">
        <is>
          <t>Away Team</t>
        </is>
      </c>
      <c r="G136" s="6" t="inlineStr">
        <is>
          <t>Venue</t>
        </is>
      </c>
    </row>
    <row r="137" ht="20" customHeight="1">
      <c r="A137" s="7" t="n">
        <v>1</v>
      </c>
      <c r="B137" s="8" t="inlineStr">
        <is>
          <t>Jun 16 · 3 pm ET</t>
        </is>
      </c>
      <c r="C137" s="9" t="inlineStr">
        <is>
          <t>France</t>
        </is>
      </c>
      <c r="D137" s="10">
        <f>RANDBETWEEN(0,4)</f>
        <v/>
      </c>
      <c r="E137" s="10">
        <f>RANDBETWEEN(0,4)</f>
        <v/>
      </c>
      <c r="F137" s="9" t="inlineStr">
        <is>
          <t>Senegal</t>
        </is>
      </c>
      <c r="G137" s="11" t="inlineStr">
        <is>
          <t>New York/NJ</t>
        </is>
      </c>
    </row>
    <row r="138" ht="20" customHeight="1">
      <c r="A138" s="7" t="n">
        <v>1</v>
      </c>
      <c r="B138" s="8" t="inlineStr">
        <is>
          <t>Jun 16 · 6 pm ET</t>
        </is>
      </c>
      <c r="C138" s="9" t="inlineStr">
        <is>
          <t>Iraq</t>
        </is>
      </c>
      <c r="D138" s="10">
        <f>RANDBETWEEN(0,4)</f>
        <v/>
      </c>
      <c r="E138" s="10">
        <f>RANDBETWEEN(0,4)</f>
        <v/>
      </c>
      <c r="F138" s="9" t="inlineStr">
        <is>
          <t>Norway</t>
        </is>
      </c>
      <c r="G138" s="11" t="inlineStr">
        <is>
          <t>Boston</t>
        </is>
      </c>
    </row>
    <row r="139" ht="20" customHeight="1">
      <c r="A139" s="7" t="n">
        <v>2</v>
      </c>
      <c r="B139" s="8" t="inlineStr">
        <is>
          <t>Jun 22 · 5 pm ET</t>
        </is>
      </c>
      <c r="C139" s="9" t="inlineStr">
        <is>
          <t>France</t>
        </is>
      </c>
      <c r="D139" s="10">
        <f>RANDBETWEEN(0,4)</f>
        <v/>
      </c>
      <c r="E139" s="10">
        <f>RANDBETWEEN(0,4)</f>
        <v/>
      </c>
      <c r="F139" s="9" t="inlineStr">
        <is>
          <t>Iraq</t>
        </is>
      </c>
      <c r="G139" s="11" t="inlineStr">
        <is>
          <t>Philadelphia</t>
        </is>
      </c>
    </row>
    <row r="140" ht="20" customHeight="1">
      <c r="A140" s="7" t="n">
        <v>2</v>
      </c>
      <c r="B140" s="8" t="inlineStr">
        <is>
          <t>Jun 22 · 8 pm ET</t>
        </is>
      </c>
      <c r="C140" s="9" t="inlineStr">
        <is>
          <t>Norway</t>
        </is>
      </c>
      <c r="D140" s="10">
        <f>RANDBETWEEN(0,4)</f>
        <v/>
      </c>
      <c r="E140" s="10">
        <f>RANDBETWEEN(0,4)</f>
        <v/>
      </c>
      <c r="F140" s="9" t="inlineStr">
        <is>
          <t>Senegal</t>
        </is>
      </c>
      <c r="G140" s="11" t="inlineStr">
        <is>
          <t>New York/NJ</t>
        </is>
      </c>
    </row>
    <row r="141" ht="20" customHeight="1">
      <c r="A141" s="7" t="n">
        <v>3</v>
      </c>
      <c r="B141" s="8" t="inlineStr">
        <is>
          <t>Jun 26 · 3 pm ET</t>
        </is>
      </c>
      <c r="C141" s="9" t="inlineStr">
        <is>
          <t>Norway</t>
        </is>
      </c>
      <c r="D141" s="10">
        <f>RANDBETWEEN(0,4)</f>
        <v/>
      </c>
      <c r="E141" s="10">
        <f>RANDBETWEEN(0,4)</f>
        <v/>
      </c>
      <c r="F141" s="9" t="inlineStr">
        <is>
          <t>France</t>
        </is>
      </c>
      <c r="G141" s="11" t="inlineStr">
        <is>
          <t>Boston</t>
        </is>
      </c>
    </row>
    <row r="142" ht="20" customHeight="1">
      <c r="A142" s="7" t="n">
        <v>3</v>
      </c>
      <c r="B142" s="8" t="inlineStr">
        <is>
          <t>Jun 26 · 3 pm ET</t>
        </is>
      </c>
      <c r="C142" s="9" t="inlineStr">
        <is>
          <t>Senegal</t>
        </is>
      </c>
      <c r="D142" s="10">
        <f>RANDBETWEEN(0,4)</f>
        <v/>
      </c>
      <c r="E142" s="10">
        <f>RANDBETWEEN(0,4)</f>
        <v/>
      </c>
      <c r="F142" s="9" t="inlineStr">
        <is>
          <t>Iraq</t>
        </is>
      </c>
      <c r="G142" s="11" t="inlineStr">
        <is>
          <t>Toronto</t>
        </is>
      </c>
    </row>
    <row r="143"/>
    <row r="144"/>
    <row r="145" ht="24" customHeight="1">
      <c r="A145" s="12" t="inlineStr">
        <is>
          <t xml:space="preserve">  GROUP J</t>
        </is>
      </c>
    </row>
    <row r="146" ht="16" customHeight="1">
      <c r="I146" s="2" t="inlineStr">
        <is>
          <t>#</t>
        </is>
      </c>
      <c r="J146" s="2" t="inlineStr">
        <is>
          <t>Team</t>
        </is>
      </c>
      <c r="K146" s="2" t="inlineStr">
        <is>
          <t>GP</t>
        </is>
      </c>
      <c r="L146" s="2" t="inlineStr">
        <is>
          <t>W</t>
        </is>
      </c>
      <c r="M146" s="2" t="inlineStr">
        <is>
          <t>D</t>
        </is>
      </c>
      <c r="N146" s="2" t="inlineStr">
        <is>
          <t>L</t>
        </is>
      </c>
      <c r="O146" s="2" t="inlineStr">
        <is>
          <t>GF</t>
        </is>
      </c>
      <c r="P146" s="2" t="inlineStr">
        <is>
          <t>GA</t>
        </is>
      </c>
      <c r="Q146" s="2" t="inlineStr">
        <is>
          <t>GD</t>
        </is>
      </c>
      <c r="R146" s="2" t="inlineStr">
        <is>
          <t>Pts</t>
        </is>
      </c>
    </row>
    <row r="147" ht="17" customHeight="1">
      <c r="I147" s="3" t="inlineStr"/>
      <c r="J147" s="4" t="inlineStr">
        <is>
          <t>Argentina</t>
        </is>
      </c>
      <c r="K147" s="5">
        <f>IF(AND(D153&lt;&gt;"",E153&lt;&gt;""),1,0)+IF(AND(D155&lt;&gt;"",E155&lt;&gt;""),1,0)+IF(AND(D158&lt;&gt;"",E158&lt;&gt;""),1,0)</f>
        <v/>
      </c>
      <c r="L147" s="5">
        <f>IF(AND(D153&lt;&gt;"",E153&lt;&gt;"",D153&gt;E153),1,0)+IF(AND(D155&lt;&gt;"",E155&lt;&gt;"",D155&gt;E155),1,0)+IF(AND(D158&lt;&gt;"",E158&lt;&gt;"",E158&gt;D158),1,0)</f>
        <v/>
      </c>
      <c r="M147" s="5">
        <f>IF(AND(D153&lt;&gt;"",E153&lt;&gt;"",D153=E153),1,0)+IF(AND(D155&lt;&gt;"",E155&lt;&gt;"",D155=E155),1,0)+IF(AND(D158&lt;&gt;"",E158&lt;&gt;"",D158=E158),1,0)</f>
        <v/>
      </c>
      <c r="N147" s="5">
        <f>IF(AND(D153&lt;&gt;"",E153&lt;&gt;"",D153&lt;E153),1,0)+IF(AND(D155&lt;&gt;"",E155&lt;&gt;"",D155&lt;E155),1,0)+IF(AND(D158&lt;&gt;"",E158&lt;&gt;"",E158&lt;D158),1,0)</f>
        <v/>
      </c>
      <c r="O147" s="5">
        <f>IF(AND(D153&lt;&gt;"",E153&lt;&gt;""),D153,0)+IF(AND(D155&lt;&gt;"",E155&lt;&gt;""),D155,0)+IF(AND(D158&lt;&gt;"",E158&lt;&gt;""),E158,0)</f>
        <v/>
      </c>
      <c r="P147" s="5">
        <f>IF(AND(D153&lt;&gt;"",E153&lt;&gt;""),E153,0)+IF(AND(D155&lt;&gt;"",E155&lt;&gt;""),E155,0)+IF(AND(D158&lt;&gt;"",E158&lt;&gt;""),D158,0)</f>
        <v/>
      </c>
      <c r="Q147" s="5">
        <f>O147-P147</f>
        <v/>
      </c>
      <c r="R147" s="5">
        <f>3*L147+M147</f>
        <v/>
      </c>
      <c r="S147">
        <f>R147*10000000+(Q147+99)*100000+O147*100+4</f>
        <v/>
      </c>
    </row>
    <row r="148" ht="17" customHeight="1">
      <c r="I148" s="3" t="inlineStr"/>
      <c r="J148" s="4" t="inlineStr">
        <is>
          <t>Algeria</t>
        </is>
      </c>
      <c r="K148" s="5">
        <f>IF(AND(D157&lt;&gt;"",E157&lt;&gt;""),1,0)+IF(AND(D153&lt;&gt;"",E153&lt;&gt;""),1,0)+IF(AND(D156&lt;&gt;"",E156&lt;&gt;""),1,0)</f>
        <v/>
      </c>
      <c r="L148" s="5">
        <f>IF(AND(D157&lt;&gt;"",E157&lt;&gt;"",D157&gt;E157),1,0)+IF(AND(D153&lt;&gt;"",E153&lt;&gt;"",E153&gt;D153),1,0)+IF(AND(D156&lt;&gt;"",E156&lt;&gt;"",E156&gt;D156),1,0)</f>
        <v/>
      </c>
      <c r="M148" s="5">
        <f>IF(AND(D157&lt;&gt;"",E157&lt;&gt;"",D157=E157),1,0)+IF(AND(D153&lt;&gt;"",E153&lt;&gt;"",D153=E153),1,0)+IF(AND(D156&lt;&gt;"",E156&lt;&gt;"",D156=E156),1,0)</f>
        <v/>
      </c>
      <c r="N148" s="5">
        <f>IF(AND(D157&lt;&gt;"",E157&lt;&gt;"",D157&lt;E157),1,0)+IF(AND(D153&lt;&gt;"",E153&lt;&gt;"",E153&lt;D153),1,0)+IF(AND(D156&lt;&gt;"",E156&lt;&gt;"",E156&lt;D156),1,0)</f>
        <v/>
      </c>
      <c r="O148" s="5">
        <f>IF(AND(D157&lt;&gt;"",E157&lt;&gt;""),D157,0)+IF(AND(D153&lt;&gt;"",E153&lt;&gt;""),E153,0)+IF(AND(D156&lt;&gt;"",E156&lt;&gt;""),E156,0)</f>
        <v/>
      </c>
      <c r="P148" s="5">
        <f>IF(AND(D157&lt;&gt;"",E157&lt;&gt;""),E157,0)+IF(AND(D153&lt;&gt;"",E153&lt;&gt;""),D153,0)+IF(AND(D156&lt;&gt;"",E156&lt;&gt;""),D156,0)</f>
        <v/>
      </c>
      <c r="Q148" s="5">
        <f>O148-P148</f>
        <v/>
      </c>
      <c r="R148" s="5">
        <f>3*L148+M148</f>
        <v/>
      </c>
      <c r="S148">
        <f>R148*10000000+(Q148+99)*100000+O148*100+3</f>
        <v/>
      </c>
    </row>
    <row r="149" ht="17" customHeight="1">
      <c r="I149" s="3" t="inlineStr"/>
      <c r="J149" s="4" t="inlineStr">
        <is>
          <t>Austria</t>
        </is>
      </c>
      <c r="K149" s="5">
        <f>IF(AND(D154&lt;&gt;"",E154&lt;&gt;""),1,0)+IF(AND(D155&lt;&gt;"",E155&lt;&gt;""),1,0)+IF(AND(D157&lt;&gt;"",E157&lt;&gt;""),1,0)</f>
        <v/>
      </c>
      <c r="L149" s="5">
        <f>IF(AND(D154&lt;&gt;"",E154&lt;&gt;"",D154&gt;E154),1,0)+IF(AND(D155&lt;&gt;"",E155&lt;&gt;"",E155&gt;D155),1,0)+IF(AND(D157&lt;&gt;"",E157&lt;&gt;"",E157&gt;D157),1,0)</f>
        <v/>
      </c>
      <c r="M149" s="5">
        <f>IF(AND(D154&lt;&gt;"",E154&lt;&gt;"",D154=E154),1,0)+IF(AND(D155&lt;&gt;"",E155&lt;&gt;"",D155=E155),1,0)+IF(AND(D157&lt;&gt;"",E157&lt;&gt;"",D157=E157),1,0)</f>
        <v/>
      </c>
      <c r="N149" s="5">
        <f>IF(AND(D154&lt;&gt;"",E154&lt;&gt;"",D154&lt;E154),1,0)+IF(AND(D155&lt;&gt;"",E155&lt;&gt;"",E155&lt;D155),1,0)+IF(AND(D157&lt;&gt;"",E157&lt;&gt;"",E157&lt;D157),1,0)</f>
        <v/>
      </c>
      <c r="O149" s="5">
        <f>IF(AND(D154&lt;&gt;"",E154&lt;&gt;""),D154,0)+IF(AND(D155&lt;&gt;"",E155&lt;&gt;""),E155,0)+IF(AND(D157&lt;&gt;"",E157&lt;&gt;""),E157,0)</f>
        <v/>
      </c>
      <c r="P149" s="5">
        <f>IF(AND(D154&lt;&gt;"",E154&lt;&gt;""),E154,0)+IF(AND(D155&lt;&gt;"",E155&lt;&gt;""),D155,0)+IF(AND(D157&lt;&gt;"",E157&lt;&gt;""),D157,0)</f>
        <v/>
      </c>
      <c r="Q149" s="5">
        <f>O149-P149</f>
        <v/>
      </c>
      <c r="R149" s="5">
        <f>3*L149+M149</f>
        <v/>
      </c>
      <c r="S149">
        <f>R149*10000000+(Q149+99)*100000+O149*100+2</f>
        <v/>
      </c>
    </row>
    <row r="150" ht="17" customHeight="1">
      <c r="I150" s="3" t="inlineStr"/>
      <c r="J150" s="4" t="inlineStr">
        <is>
          <t>Jordan</t>
        </is>
      </c>
      <c r="K150" s="5">
        <f>IF(AND(D156&lt;&gt;"",E156&lt;&gt;""),1,0)+IF(AND(D158&lt;&gt;"",E158&lt;&gt;""),1,0)+IF(AND(D154&lt;&gt;"",E154&lt;&gt;""),1,0)</f>
        <v/>
      </c>
      <c r="L150" s="5">
        <f>IF(AND(D156&lt;&gt;"",E156&lt;&gt;"",D156&gt;E156),1,0)+IF(AND(D158&lt;&gt;"",E158&lt;&gt;"",D158&gt;E158),1,0)+IF(AND(D154&lt;&gt;"",E154&lt;&gt;"",E154&gt;D154),1,0)</f>
        <v/>
      </c>
      <c r="M150" s="5">
        <f>IF(AND(D156&lt;&gt;"",E156&lt;&gt;"",D156=E156),1,0)+IF(AND(D158&lt;&gt;"",E158&lt;&gt;"",D158=E158),1,0)+IF(AND(D154&lt;&gt;"",E154&lt;&gt;"",D154=E154),1,0)</f>
        <v/>
      </c>
      <c r="N150" s="5">
        <f>IF(AND(D156&lt;&gt;"",E156&lt;&gt;"",D156&lt;E156),1,0)+IF(AND(D158&lt;&gt;"",E158&lt;&gt;"",D158&lt;E158),1,0)+IF(AND(D154&lt;&gt;"",E154&lt;&gt;"",E154&lt;D154),1,0)</f>
        <v/>
      </c>
      <c r="O150" s="5">
        <f>IF(AND(D156&lt;&gt;"",E156&lt;&gt;""),D156,0)+IF(AND(D158&lt;&gt;"",E158&lt;&gt;""),D158,0)+IF(AND(D154&lt;&gt;"",E154&lt;&gt;""),E154,0)</f>
        <v/>
      </c>
      <c r="P150" s="5">
        <f>IF(AND(D156&lt;&gt;"",E156&lt;&gt;""),E156,0)+IF(AND(D158&lt;&gt;"",E158&lt;&gt;""),E158,0)+IF(AND(D154&lt;&gt;"",E154&lt;&gt;""),D154,0)</f>
        <v/>
      </c>
      <c r="Q150" s="5">
        <f>O150-P150</f>
        <v/>
      </c>
      <c r="R150" s="5">
        <f>3*L150+M150</f>
        <v/>
      </c>
      <c r="S150">
        <f>R150*10000000+(Q150+99)*100000+O150*100+1</f>
        <v/>
      </c>
    </row>
    <row r="151"/>
    <row r="152" ht="16" customHeight="1">
      <c r="A152" s="6" t="inlineStr">
        <is>
          <t>MD</t>
        </is>
      </c>
      <c r="B152" s="6" t="inlineStr">
        <is>
          <t>Date / Time (ET)</t>
        </is>
      </c>
      <c r="C152" s="6" t="inlineStr">
        <is>
          <t>Home Team</t>
        </is>
      </c>
      <c r="D152" s="6" t="inlineStr">
        <is>
          <t>G</t>
        </is>
      </c>
      <c r="E152" s="6" t="inlineStr">
        <is>
          <t>G</t>
        </is>
      </c>
      <c r="F152" s="6" t="inlineStr">
        <is>
          <t>Away Team</t>
        </is>
      </c>
      <c r="G152" s="6" t="inlineStr">
        <is>
          <t>Venue</t>
        </is>
      </c>
    </row>
    <row r="153" ht="20" customHeight="1">
      <c r="A153" s="7" t="n">
        <v>1</v>
      </c>
      <c r="B153" s="8" t="inlineStr">
        <is>
          <t>Jun 16 · 9 pm ET</t>
        </is>
      </c>
      <c r="C153" s="9" t="inlineStr">
        <is>
          <t>Argentina</t>
        </is>
      </c>
      <c r="D153" s="10">
        <f>RANDBETWEEN(0,4)</f>
        <v/>
      </c>
      <c r="E153" s="10">
        <f>RANDBETWEEN(0,4)</f>
        <v/>
      </c>
      <c r="F153" s="9" t="inlineStr">
        <is>
          <t>Algeria</t>
        </is>
      </c>
      <c r="G153" s="11" t="inlineStr">
        <is>
          <t>Kansas City</t>
        </is>
      </c>
    </row>
    <row r="154" ht="20" customHeight="1">
      <c r="A154" s="7" t="n">
        <v>1</v>
      </c>
      <c r="B154" s="8" t="inlineStr">
        <is>
          <t>Jun 16 · 12 am ET</t>
        </is>
      </c>
      <c r="C154" s="9" t="inlineStr">
        <is>
          <t>Austria</t>
        </is>
      </c>
      <c r="D154" s="10">
        <f>RANDBETWEEN(0,4)</f>
        <v/>
      </c>
      <c r="E154" s="10">
        <f>RANDBETWEEN(0,4)</f>
        <v/>
      </c>
      <c r="F154" s="9" t="inlineStr">
        <is>
          <t>Jordan</t>
        </is>
      </c>
      <c r="G154" s="11" t="inlineStr">
        <is>
          <t>San Francisco</t>
        </is>
      </c>
    </row>
    <row r="155" ht="20" customHeight="1">
      <c r="A155" s="7" t="n">
        <v>2</v>
      </c>
      <c r="B155" s="8" t="inlineStr">
        <is>
          <t>Jun 22 · 1 pm ET</t>
        </is>
      </c>
      <c r="C155" s="9" t="inlineStr">
        <is>
          <t>Argentina</t>
        </is>
      </c>
      <c r="D155" s="10">
        <f>RANDBETWEEN(0,4)</f>
        <v/>
      </c>
      <c r="E155" s="10">
        <f>RANDBETWEEN(0,4)</f>
        <v/>
      </c>
      <c r="F155" s="9" t="inlineStr">
        <is>
          <t>Austria</t>
        </is>
      </c>
      <c r="G155" s="11" t="inlineStr">
        <is>
          <t>Dallas</t>
        </is>
      </c>
    </row>
    <row r="156" ht="20" customHeight="1">
      <c r="A156" s="7" t="n">
        <v>2</v>
      </c>
      <c r="B156" s="8" t="inlineStr">
        <is>
          <t>Jun 22 · 11 pm ET</t>
        </is>
      </c>
      <c r="C156" s="9" t="inlineStr">
        <is>
          <t>Jordan</t>
        </is>
      </c>
      <c r="D156" s="10">
        <f>RANDBETWEEN(0,4)</f>
        <v/>
      </c>
      <c r="E156" s="10">
        <f>RANDBETWEEN(0,4)</f>
        <v/>
      </c>
      <c r="F156" s="9" t="inlineStr">
        <is>
          <t>Algeria</t>
        </is>
      </c>
      <c r="G156" s="11" t="inlineStr">
        <is>
          <t>San Francisco</t>
        </is>
      </c>
    </row>
    <row r="157" ht="20" customHeight="1">
      <c r="A157" s="7" t="n">
        <v>3</v>
      </c>
      <c r="B157" s="8" t="inlineStr">
        <is>
          <t>Jun 27 · 10 pm ET</t>
        </is>
      </c>
      <c r="C157" s="9" t="inlineStr">
        <is>
          <t>Algeria</t>
        </is>
      </c>
      <c r="D157" s="10">
        <f>RANDBETWEEN(0,4)</f>
        <v/>
      </c>
      <c r="E157" s="10">
        <f>RANDBETWEEN(0,4)</f>
        <v/>
      </c>
      <c r="F157" s="9" t="inlineStr">
        <is>
          <t>Austria</t>
        </is>
      </c>
      <c r="G157" s="11" t="inlineStr">
        <is>
          <t>Kansas City</t>
        </is>
      </c>
    </row>
    <row r="158" ht="20" customHeight="1">
      <c r="A158" s="7" t="n">
        <v>3</v>
      </c>
      <c r="B158" s="8" t="inlineStr">
        <is>
          <t>Jun 27 · 10 pm ET</t>
        </is>
      </c>
      <c r="C158" s="9" t="inlineStr">
        <is>
          <t>Jordan</t>
        </is>
      </c>
      <c r="D158" s="10">
        <f>RANDBETWEEN(0,4)</f>
        <v/>
      </c>
      <c r="E158" s="10">
        <f>RANDBETWEEN(0,4)</f>
        <v/>
      </c>
      <c r="F158" s="9" t="inlineStr">
        <is>
          <t>Argentina</t>
        </is>
      </c>
      <c r="G158" s="11" t="inlineStr">
        <is>
          <t>Dallas</t>
        </is>
      </c>
    </row>
    <row r="159"/>
    <row r="160"/>
    <row r="161" ht="24" customHeight="1">
      <c r="A161" s="12" t="inlineStr">
        <is>
          <t xml:space="preserve">  GROUP K</t>
        </is>
      </c>
    </row>
    <row r="162" ht="16" customHeight="1">
      <c r="I162" s="2" t="inlineStr">
        <is>
          <t>#</t>
        </is>
      </c>
      <c r="J162" s="2" t="inlineStr">
        <is>
          <t>Team</t>
        </is>
      </c>
      <c r="K162" s="2" t="inlineStr">
        <is>
          <t>GP</t>
        </is>
      </c>
      <c r="L162" s="2" t="inlineStr">
        <is>
          <t>W</t>
        </is>
      </c>
      <c r="M162" s="2" t="inlineStr">
        <is>
          <t>D</t>
        </is>
      </c>
      <c r="N162" s="2" t="inlineStr">
        <is>
          <t>L</t>
        </is>
      </c>
      <c r="O162" s="2" t="inlineStr">
        <is>
          <t>GF</t>
        </is>
      </c>
      <c r="P162" s="2" t="inlineStr">
        <is>
          <t>GA</t>
        </is>
      </c>
      <c r="Q162" s="2" t="inlineStr">
        <is>
          <t>GD</t>
        </is>
      </c>
      <c r="R162" s="2" t="inlineStr">
        <is>
          <t>Pts</t>
        </is>
      </c>
    </row>
    <row r="163" ht="17" customHeight="1">
      <c r="I163" s="3" t="inlineStr"/>
      <c r="J163" s="4" t="inlineStr">
        <is>
          <t>Portugal</t>
        </is>
      </c>
      <c r="K163" s="5">
        <f>IF(AND(D169&lt;&gt;"",E169&lt;&gt;""),1,0)+IF(AND(D171&lt;&gt;"",E171&lt;&gt;""),1,0)+IF(AND(D173&lt;&gt;"",E173&lt;&gt;""),1,0)</f>
        <v/>
      </c>
      <c r="L163" s="5">
        <f>IF(AND(D169&lt;&gt;"",E169&lt;&gt;"",D169&gt;E169),1,0)+IF(AND(D171&lt;&gt;"",E171&lt;&gt;"",D171&gt;E171),1,0)+IF(AND(D173&lt;&gt;"",E173&lt;&gt;"",E173&gt;D173),1,0)</f>
        <v/>
      </c>
      <c r="M163" s="5">
        <f>IF(AND(D169&lt;&gt;"",E169&lt;&gt;"",D169=E169),1,0)+IF(AND(D171&lt;&gt;"",E171&lt;&gt;"",D171=E171),1,0)+IF(AND(D173&lt;&gt;"",E173&lt;&gt;"",D173=E173),1,0)</f>
        <v/>
      </c>
      <c r="N163" s="5">
        <f>IF(AND(D169&lt;&gt;"",E169&lt;&gt;"",D169&lt;E169),1,0)+IF(AND(D171&lt;&gt;"",E171&lt;&gt;"",D171&lt;E171),1,0)+IF(AND(D173&lt;&gt;"",E173&lt;&gt;"",E173&lt;D173),1,0)</f>
        <v/>
      </c>
      <c r="O163" s="5">
        <f>IF(AND(D169&lt;&gt;"",E169&lt;&gt;""),D169,0)+IF(AND(D171&lt;&gt;"",E171&lt;&gt;""),D171,0)+IF(AND(D173&lt;&gt;"",E173&lt;&gt;""),E173,0)</f>
        <v/>
      </c>
      <c r="P163" s="5">
        <f>IF(AND(D169&lt;&gt;"",E169&lt;&gt;""),E169,0)+IF(AND(D171&lt;&gt;"",E171&lt;&gt;""),E171,0)+IF(AND(D173&lt;&gt;"",E173&lt;&gt;""),D173,0)</f>
        <v/>
      </c>
      <c r="Q163" s="5">
        <f>O163-P163</f>
        <v/>
      </c>
      <c r="R163" s="5">
        <f>3*L163+M163</f>
        <v/>
      </c>
      <c r="S163">
        <f>R163*10000000+(Q163+99)*100000+O163*100+4</f>
        <v/>
      </c>
    </row>
    <row r="164" ht="17" customHeight="1">
      <c r="I164" s="3" t="inlineStr"/>
      <c r="J164" s="4" t="inlineStr">
        <is>
          <t>Colombia</t>
        </is>
      </c>
      <c r="K164" s="5">
        <f>IF(AND(D173&lt;&gt;"",E173&lt;&gt;""),1,0)+IF(AND(D170&lt;&gt;"",E170&lt;&gt;""),1,0)+IF(AND(D172&lt;&gt;"",E172&lt;&gt;""),1,0)</f>
        <v/>
      </c>
      <c r="L164" s="5">
        <f>IF(AND(D173&lt;&gt;"",E173&lt;&gt;"",D173&gt;E173),1,0)+IF(AND(D170&lt;&gt;"",E170&lt;&gt;"",E170&gt;D170),1,0)+IF(AND(D172&lt;&gt;"",E172&lt;&gt;"",E172&gt;D172),1,0)</f>
        <v/>
      </c>
      <c r="M164" s="5">
        <f>IF(AND(D173&lt;&gt;"",E173&lt;&gt;"",D173=E173),1,0)+IF(AND(D170&lt;&gt;"",E170&lt;&gt;"",D170=E170),1,0)+IF(AND(D172&lt;&gt;"",E172&lt;&gt;"",D172=E172),1,0)</f>
        <v/>
      </c>
      <c r="N164" s="5">
        <f>IF(AND(D173&lt;&gt;"",E173&lt;&gt;"",D173&lt;E173),1,0)+IF(AND(D170&lt;&gt;"",E170&lt;&gt;"",E170&lt;D170),1,0)+IF(AND(D172&lt;&gt;"",E172&lt;&gt;"",E172&lt;D172),1,0)</f>
        <v/>
      </c>
      <c r="O164" s="5">
        <f>IF(AND(D173&lt;&gt;"",E173&lt;&gt;""),D173,0)+IF(AND(D170&lt;&gt;"",E170&lt;&gt;""),E170,0)+IF(AND(D172&lt;&gt;"",E172&lt;&gt;""),E172,0)</f>
        <v/>
      </c>
      <c r="P164" s="5">
        <f>IF(AND(D173&lt;&gt;"",E173&lt;&gt;""),E173,0)+IF(AND(D170&lt;&gt;"",E170&lt;&gt;""),D170,0)+IF(AND(D172&lt;&gt;"",E172&lt;&gt;""),D172,0)</f>
        <v/>
      </c>
      <c r="Q164" s="5">
        <f>O164-P164</f>
        <v/>
      </c>
      <c r="R164" s="5">
        <f>3*L164+M164</f>
        <v/>
      </c>
      <c r="S164">
        <f>R164*10000000+(Q164+99)*100000+O164*100+3</f>
        <v/>
      </c>
    </row>
    <row r="165" ht="17" customHeight="1">
      <c r="I165" s="3" t="inlineStr"/>
      <c r="J165" s="4" t="inlineStr">
        <is>
          <t>Uzbekistan</t>
        </is>
      </c>
      <c r="K165" s="5">
        <f>IF(AND(D170&lt;&gt;"",E170&lt;&gt;""),1,0)+IF(AND(D171&lt;&gt;"",E171&lt;&gt;""),1,0)+IF(AND(D174&lt;&gt;"",E174&lt;&gt;""),1,0)</f>
        <v/>
      </c>
      <c r="L165" s="5">
        <f>IF(AND(D170&lt;&gt;"",E170&lt;&gt;"",D170&gt;E170),1,0)+IF(AND(D171&lt;&gt;"",E171&lt;&gt;"",E171&gt;D171),1,0)+IF(AND(D174&lt;&gt;"",E174&lt;&gt;"",E174&gt;D174),1,0)</f>
        <v/>
      </c>
      <c r="M165" s="5">
        <f>IF(AND(D170&lt;&gt;"",E170&lt;&gt;"",D170=E170),1,0)+IF(AND(D171&lt;&gt;"",E171&lt;&gt;"",D171=E171),1,0)+IF(AND(D174&lt;&gt;"",E174&lt;&gt;"",D174=E174),1,0)</f>
        <v/>
      </c>
      <c r="N165" s="5">
        <f>IF(AND(D170&lt;&gt;"",E170&lt;&gt;"",D170&lt;E170),1,0)+IF(AND(D171&lt;&gt;"",E171&lt;&gt;"",E171&lt;D171),1,0)+IF(AND(D174&lt;&gt;"",E174&lt;&gt;"",E174&lt;D174),1,0)</f>
        <v/>
      </c>
      <c r="O165" s="5">
        <f>IF(AND(D170&lt;&gt;"",E170&lt;&gt;""),D170,0)+IF(AND(D171&lt;&gt;"",E171&lt;&gt;""),E171,0)+IF(AND(D174&lt;&gt;"",E174&lt;&gt;""),E174,0)</f>
        <v/>
      </c>
      <c r="P165" s="5">
        <f>IF(AND(D170&lt;&gt;"",E170&lt;&gt;""),E170,0)+IF(AND(D171&lt;&gt;"",E171&lt;&gt;""),D171,0)+IF(AND(D174&lt;&gt;"",E174&lt;&gt;""),D174,0)</f>
        <v/>
      </c>
      <c r="Q165" s="5">
        <f>O165-P165</f>
        <v/>
      </c>
      <c r="R165" s="5">
        <f>3*L165+M165</f>
        <v/>
      </c>
      <c r="S165">
        <f>R165*10000000+(Q165+99)*100000+O165*100+2</f>
        <v/>
      </c>
    </row>
    <row r="166" ht="17" customHeight="1">
      <c r="I166" s="3" t="inlineStr"/>
      <c r="J166" s="4" t="inlineStr">
        <is>
          <t>DR Congo</t>
        </is>
      </c>
      <c r="K166" s="5">
        <f>IF(AND(D172&lt;&gt;"",E172&lt;&gt;""),1,0)+IF(AND(D174&lt;&gt;"",E174&lt;&gt;""),1,0)+IF(AND(D169&lt;&gt;"",E169&lt;&gt;""),1,0)</f>
        <v/>
      </c>
      <c r="L166" s="5">
        <f>IF(AND(D172&lt;&gt;"",E172&lt;&gt;"",D172&gt;E172),1,0)+IF(AND(D174&lt;&gt;"",E174&lt;&gt;"",D174&gt;E174),1,0)+IF(AND(D169&lt;&gt;"",E169&lt;&gt;"",E169&gt;D169),1,0)</f>
        <v/>
      </c>
      <c r="M166" s="5">
        <f>IF(AND(D172&lt;&gt;"",E172&lt;&gt;"",D172=E172),1,0)+IF(AND(D174&lt;&gt;"",E174&lt;&gt;"",D174=E174),1,0)+IF(AND(D169&lt;&gt;"",E169&lt;&gt;"",D169=E169),1,0)</f>
        <v/>
      </c>
      <c r="N166" s="5">
        <f>IF(AND(D172&lt;&gt;"",E172&lt;&gt;"",D172&lt;E172),1,0)+IF(AND(D174&lt;&gt;"",E174&lt;&gt;"",D174&lt;E174),1,0)+IF(AND(D169&lt;&gt;"",E169&lt;&gt;"",E169&lt;D169),1,0)</f>
        <v/>
      </c>
      <c r="O166" s="5">
        <f>IF(AND(D172&lt;&gt;"",E172&lt;&gt;""),D172,0)+IF(AND(D174&lt;&gt;"",E174&lt;&gt;""),D174,0)+IF(AND(D169&lt;&gt;"",E169&lt;&gt;""),E169,0)</f>
        <v/>
      </c>
      <c r="P166" s="5">
        <f>IF(AND(D172&lt;&gt;"",E172&lt;&gt;""),E172,0)+IF(AND(D174&lt;&gt;"",E174&lt;&gt;""),E174,0)+IF(AND(D169&lt;&gt;"",E169&lt;&gt;""),D169,0)</f>
        <v/>
      </c>
      <c r="Q166" s="5">
        <f>O166-P166</f>
        <v/>
      </c>
      <c r="R166" s="5">
        <f>3*L166+M166</f>
        <v/>
      </c>
      <c r="S166">
        <f>R166*10000000+(Q166+99)*100000+O166*100+1</f>
        <v/>
      </c>
    </row>
    <row r="167"/>
    <row r="168" ht="16" customHeight="1">
      <c r="A168" s="6" t="inlineStr">
        <is>
          <t>MD</t>
        </is>
      </c>
      <c r="B168" s="6" t="inlineStr">
        <is>
          <t>Date / Time (ET)</t>
        </is>
      </c>
      <c r="C168" s="6" t="inlineStr">
        <is>
          <t>Home Team</t>
        </is>
      </c>
      <c r="D168" s="6" t="inlineStr">
        <is>
          <t>G</t>
        </is>
      </c>
      <c r="E168" s="6" t="inlineStr">
        <is>
          <t>G</t>
        </is>
      </c>
      <c r="F168" s="6" t="inlineStr">
        <is>
          <t>Away Team</t>
        </is>
      </c>
      <c r="G168" s="6" t="inlineStr">
        <is>
          <t>Venue</t>
        </is>
      </c>
    </row>
    <row r="169" ht="20" customHeight="1">
      <c r="A169" s="7" t="n">
        <v>1</v>
      </c>
      <c r="B169" s="8" t="inlineStr">
        <is>
          <t>Jun 17 · 1 pm ET</t>
        </is>
      </c>
      <c r="C169" s="9" t="inlineStr">
        <is>
          <t>Portugal</t>
        </is>
      </c>
      <c r="D169" s="10">
        <f>RANDBETWEEN(0,4)</f>
        <v/>
      </c>
      <c r="E169" s="10">
        <f>RANDBETWEEN(0,4)</f>
        <v/>
      </c>
      <c r="F169" s="9" t="inlineStr">
        <is>
          <t>DR Congo</t>
        </is>
      </c>
      <c r="G169" s="11" t="inlineStr">
        <is>
          <t>Houston</t>
        </is>
      </c>
    </row>
    <row r="170" ht="20" customHeight="1">
      <c r="A170" s="7" t="n">
        <v>1</v>
      </c>
      <c r="B170" s="8" t="inlineStr">
        <is>
          <t>Jun 17 · 10 pm ET</t>
        </is>
      </c>
      <c r="C170" s="9" t="inlineStr">
        <is>
          <t>Uzbekistan</t>
        </is>
      </c>
      <c r="D170" s="10">
        <f>RANDBETWEEN(0,4)</f>
        <v/>
      </c>
      <c r="E170" s="10">
        <f>RANDBETWEEN(0,4)</f>
        <v/>
      </c>
      <c r="F170" s="9" t="inlineStr">
        <is>
          <t>Colombia</t>
        </is>
      </c>
      <c r="G170" s="11" t="inlineStr">
        <is>
          <t>Mexico City</t>
        </is>
      </c>
    </row>
    <row r="171" ht="20" customHeight="1">
      <c r="A171" s="7" t="n">
        <v>2</v>
      </c>
      <c r="B171" s="8" t="inlineStr">
        <is>
          <t>Jun 23 · 1 pm ET</t>
        </is>
      </c>
      <c r="C171" s="9" t="inlineStr">
        <is>
          <t>Portugal</t>
        </is>
      </c>
      <c r="D171" s="10">
        <f>RANDBETWEEN(0,4)</f>
        <v/>
      </c>
      <c r="E171" s="10">
        <f>RANDBETWEEN(0,4)</f>
        <v/>
      </c>
      <c r="F171" s="9" t="inlineStr">
        <is>
          <t>Uzbekistan</t>
        </is>
      </c>
      <c r="G171" s="11" t="inlineStr">
        <is>
          <t>Houston</t>
        </is>
      </c>
    </row>
    <row r="172" ht="20" customHeight="1">
      <c r="A172" s="7" t="n">
        <v>2</v>
      </c>
      <c r="B172" s="8" t="inlineStr">
        <is>
          <t>Jun 23 · 10 pm ET</t>
        </is>
      </c>
      <c r="C172" s="9" t="inlineStr">
        <is>
          <t>DR Congo</t>
        </is>
      </c>
      <c r="D172" s="10">
        <f>RANDBETWEEN(0,4)</f>
        <v/>
      </c>
      <c r="E172" s="10">
        <f>RANDBETWEEN(0,4)</f>
        <v/>
      </c>
      <c r="F172" s="9" t="inlineStr">
        <is>
          <t>Colombia</t>
        </is>
      </c>
      <c r="G172" s="11" t="inlineStr">
        <is>
          <t>Guadalajara</t>
        </is>
      </c>
    </row>
    <row r="173" ht="20" customHeight="1">
      <c r="A173" s="7" t="n">
        <v>3</v>
      </c>
      <c r="B173" s="8" t="inlineStr">
        <is>
          <t>Jun 27 · 7:30 pm ET</t>
        </is>
      </c>
      <c r="C173" s="9" t="inlineStr">
        <is>
          <t>Colombia</t>
        </is>
      </c>
      <c r="D173" s="10">
        <f>RANDBETWEEN(0,4)</f>
        <v/>
      </c>
      <c r="E173" s="10">
        <f>RANDBETWEEN(0,4)</f>
        <v/>
      </c>
      <c r="F173" s="9" t="inlineStr">
        <is>
          <t>Portugal</t>
        </is>
      </c>
      <c r="G173" s="11" t="inlineStr">
        <is>
          <t>Miami</t>
        </is>
      </c>
    </row>
    <row r="174" ht="20" customHeight="1">
      <c r="A174" s="7" t="n">
        <v>3</v>
      </c>
      <c r="B174" s="8" t="inlineStr">
        <is>
          <t>Jun 27 · 7:30 pm ET</t>
        </is>
      </c>
      <c r="C174" s="9" t="inlineStr">
        <is>
          <t>DR Congo</t>
        </is>
      </c>
      <c r="D174" s="10">
        <f>RANDBETWEEN(0,4)</f>
        <v/>
      </c>
      <c r="E174" s="10">
        <f>RANDBETWEEN(0,4)</f>
        <v/>
      </c>
      <c r="F174" s="9" t="inlineStr">
        <is>
          <t>Uzbekistan</t>
        </is>
      </c>
      <c r="G174" s="11" t="inlineStr">
        <is>
          <t>Atlanta</t>
        </is>
      </c>
    </row>
    <row r="175"/>
    <row r="176"/>
    <row r="177" ht="24" customHeight="1">
      <c r="A177" s="12" t="inlineStr">
        <is>
          <t xml:space="preserve">  GROUP L</t>
        </is>
      </c>
    </row>
    <row r="178" ht="16" customHeight="1">
      <c r="I178" s="2" t="inlineStr">
        <is>
          <t>#</t>
        </is>
      </c>
      <c r="J178" s="2" t="inlineStr">
        <is>
          <t>Team</t>
        </is>
      </c>
      <c r="K178" s="2" t="inlineStr">
        <is>
          <t>GP</t>
        </is>
      </c>
      <c r="L178" s="2" t="inlineStr">
        <is>
          <t>W</t>
        </is>
      </c>
      <c r="M178" s="2" t="inlineStr">
        <is>
          <t>D</t>
        </is>
      </c>
      <c r="N178" s="2" t="inlineStr">
        <is>
          <t>L</t>
        </is>
      </c>
      <c r="O178" s="2" t="inlineStr">
        <is>
          <t>GF</t>
        </is>
      </c>
      <c r="P178" s="2" t="inlineStr">
        <is>
          <t>GA</t>
        </is>
      </c>
      <c r="Q178" s="2" t="inlineStr">
        <is>
          <t>GD</t>
        </is>
      </c>
      <c r="R178" s="2" t="inlineStr">
        <is>
          <t>Pts</t>
        </is>
      </c>
    </row>
    <row r="179" ht="17" customHeight="1">
      <c r="I179" s="3" t="inlineStr"/>
      <c r="J179" s="4" t="inlineStr">
        <is>
          <t>England</t>
        </is>
      </c>
      <c r="K179" s="5">
        <f>IF(AND(D185&lt;&gt;"",E185&lt;&gt;""),1,0)+IF(AND(D187&lt;&gt;"",E187&lt;&gt;""),1,0)+IF(AND(D189&lt;&gt;"",E189&lt;&gt;""),1,0)</f>
        <v/>
      </c>
      <c r="L179" s="5">
        <f>IF(AND(D185&lt;&gt;"",E185&lt;&gt;"",D185&gt;E185),1,0)+IF(AND(D187&lt;&gt;"",E187&lt;&gt;"",D187&gt;E187),1,0)+IF(AND(D189&lt;&gt;"",E189&lt;&gt;"",E189&gt;D189),1,0)</f>
        <v/>
      </c>
      <c r="M179" s="5">
        <f>IF(AND(D185&lt;&gt;"",E185&lt;&gt;"",D185=E185),1,0)+IF(AND(D187&lt;&gt;"",E187&lt;&gt;"",D187=E187),1,0)+IF(AND(D189&lt;&gt;"",E189&lt;&gt;"",D189=E189),1,0)</f>
        <v/>
      </c>
      <c r="N179" s="5">
        <f>IF(AND(D185&lt;&gt;"",E185&lt;&gt;"",D185&lt;E185),1,0)+IF(AND(D187&lt;&gt;"",E187&lt;&gt;"",D187&lt;E187),1,0)+IF(AND(D189&lt;&gt;"",E189&lt;&gt;"",E189&lt;D189),1,0)</f>
        <v/>
      </c>
      <c r="O179" s="5">
        <f>IF(AND(D185&lt;&gt;"",E185&lt;&gt;""),D185,0)+IF(AND(D187&lt;&gt;"",E187&lt;&gt;""),D187,0)+IF(AND(D189&lt;&gt;"",E189&lt;&gt;""),E189,0)</f>
        <v/>
      </c>
      <c r="P179" s="5">
        <f>IF(AND(D185&lt;&gt;"",E185&lt;&gt;""),E185,0)+IF(AND(D187&lt;&gt;"",E187&lt;&gt;""),E187,0)+IF(AND(D189&lt;&gt;"",E189&lt;&gt;""),D189,0)</f>
        <v/>
      </c>
      <c r="Q179" s="5">
        <f>O179-P179</f>
        <v/>
      </c>
      <c r="R179" s="5">
        <f>3*L179+M179</f>
        <v/>
      </c>
      <c r="S179">
        <f>R179*10000000+(Q179+99)*100000+O179*100+4</f>
        <v/>
      </c>
    </row>
    <row r="180" ht="17" customHeight="1">
      <c r="I180" s="3" t="inlineStr"/>
      <c r="J180" s="4" t="inlineStr">
        <is>
          <t>Croatia</t>
        </is>
      </c>
      <c r="K180" s="5">
        <f>IF(AND(D190&lt;&gt;"",E190&lt;&gt;""),1,0)+IF(AND(D185&lt;&gt;"",E185&lt;&gt;""),1,0)+IF(AND(D188&lt;&gt;"",E188&lt;&gt;""),1,0)</f>
        <v/>
      </c>
      <c r="L180" s="5">
        <f>IF(AND(D190&lt;&gt;"",E190&lt;&gt;"",D190&gt;E190),1,0)+IF(AND(D185&lt;&gt;"",E185&lt;&gt;"",E185&gt;D185),1,0)+IF(AND(D188&lt;&gt;"",E188&lt;&gt;"",E188&gt;D188),1,0)</f>
        <v/>
      </c>
      <c r="M180" s="5">
        <f>IF(AND(D190&lt;&gt;"",E190&lt;&gt;"",D190=E190),1,0)+IF(AND(D185&lt;&gt;"",E185&lt;&gt;"",D185=E185),1,0)+IF(AND(D188&lt;&gt;"",E188&lt;&gt;"",D188=E188),1,0)</f>
        <v/>
      </c>
      <c r="N180" s="5">
        <f>IF(AND(D190&lt;&gt;"",E190&lt;&gt;"",D190&lt;E190),1,0)+IF(AND(D185&lt;&gt;"",E185&lt;&gt;"",E185&lt;D185),1,0)+IF(AND(D188&lt;&gt;"",E188&lt;&gt;"",E188&lt;D188),1,0)</f>
        <v/>
      </c>
      <c r="O180" s="5">
        <f>IF(AND(D190&lt;&gt;"",E190&lt;&gt;""),D190,0)+IF(AND(D185&lt;&gt;"",E185&lt;&gt;""),E185,0)+IF(AND(D188&lt;&gt;"",E188&lt;&gt;""),E188,0)</f>
        <v/>
      </c>
      <c r="P180" s="5">
        <f>IF(AND(D190&lt;&gt;"",E190&lt;&gt;""),E190,0)+IF(AND(D185&lt;&gt;"",E185&lt;&gt;""),D185,0)+IF(AND(D188&lt;&gt;"",E188&lt;&gt;""),D188,0)</f>
        <v/>
      </c>
      <c r="Q180" s="5">
        <f>O180-P180</f>
        <v/>
      </c>
      <c r="R180" s="5">
        <f>3*L180+M180</f>
        <v/>
      </c>
      <c r="S180">
        <f>R180*10000000+(Q180+99)*100000+O180*100+3</f>
        <v/>
      </c>
    </row>
    <row r="181" ht="17" customHeight="1">
      <c r="I181" s="3" t="inlineStr"/>
      <c r="J181" s="4" t="inlineStr">
        <is>
          <t>Panama</t>
        </is>
      </c>
      <c r="K181" s="5">
        <f>IF(AND(D188&lt;&gt;"",E188&lt;&gt;""),1,0)+IF(AND(D189&lt;&gt;"",E189&lt;&gt;""),1,0)+IF(AND(D186&lt;&gt;"",E186&lt;&gt;""),1,0)</f>
        <v/>
      </c>
      <c r="L181" s="5">
        <f>IF(AND(D188&lt;&gt;"",E188&lt;&gt;"",D188&gt;E188),1,0)+IF(AND(D189&lt;&gt;"",E189&lt;&gt;"",D189&gt;E189),1,0)+IF(AND(D186&lt;&gt;"",E186&lt;&gt;"",E186&gt;D186),1,0)</f>
        <v/>
      </c>
      <c r="M181" s="5">
        <f>IF(AND(D188&lt;&gt;"",E188&lt;&gt;"",D188=E188),1,0)+IF(AND(D189&lt;&gt;"",E189&lt;&gt;"",D189=E189),1,0)+IF(AND(D186&lt;&gt;"",E186&lt;&gt;"",D186=E186),1,0)</f>
        <v/>
      </c>
      <c r="N181" s="5">
        <f>IF(AND(D188&lt;&gt;"",E188&lt;&gt;"",D188&lt;E188),1,0)+IF(AND(D189&lt;&gt;"",E189&lt;&gt;"",D189&lt;E189),1,0)+IF(AND(D186&lt;&gt;"",E186&lt;&gt;"",E186&lt;D186),1,0)</f>
        <v/>
      </c>
      <c r="O181" s="5">
        <f>IF(AND(D188&lt;&gt;"",E188&lt;&gt;""),D188,0)+IF(AND(D189&lt;&gt;"",E189&lt;&gt;""),D189,0)+IF(AND(D186&lt;&gt;"",E186&lt;&gt;""),E186,0)</f>
        <v/>
      </c>
      <c r="P181" s="5">
        <f>IF(AND(D188&lt;&gt;"",E188&lt;&gt;""),E188,0)+IF(AND(D189&lt;&gt;"",E189&lt;&gt;""),E189,0)+IF(AND(D186&lt;&gt;"",E186&lt;&gt;""),D186,0)</f>
        <v/>
      </c>
      <c r="Q181" s="5">
        <f>O181-P181</f>
        <v/>
      </c>
      <c r="R181" s="5">
        <f>3*L181+M181</f>
        <v/>
      </c>
      <c r="S181">
        <f>R181*10000000+(Q181+99)*100000+O181*100+2</f>
        <v/>
      </c>
    </row>
    <row r="182" ht="17" customHeight="1">
      <c r="I182" s="3" t="inlineStr"/>
      <c r="J182" s="4" t="inlineStr">
        <is>
          <t>Ghana</t>
        </is>
      </c>
      <c r="K182" s="5">
        <f>IF(AND(D186&lt;&gt;"",E186&lt;&gt;""),1,0)+IF(AND(D187&lt;&gt;"",E187&lt;&gt;""),1,0)+IF(AND(D190&lt;&gt;"",E190&lt;&gt;""),1,0)</f>
        <v/>
      </c>
      <c r="L182" s="5">
        <f>IF(AND(D186&lt;&gt;"",E186&lt;&gt;"",D186&gt;E186),1,0)+IF(AND(D187&lt;&gt;"",E187&lt;&gt;"",E187&gt;D187),1,0)+IF(AND(D190&lt;&gt;"",E190&lt;&gt;"",E190&gt;D190),1,0)</f>
        <v/>
      </c>
      <c r="M182" s="5">
        <f>IF(AND(D186&lt;&gt;"",E186&lt;&gt;"",D186=E186),1,0)+IF(AND(D187&lt;&gt;"",E187&lt;&gt;"",D187=E187),1,0)+IF(AND(D190&lt;&gt;"",E190&lt;&gt;"",D190=E190),1,0)</f>
        <v/>
      </c>
      <c r="N182" s="5">
        <f>IF(AND(D186&lt;&gt;"",E186&lt;&gt;"",D186&lt;E186),1,0)+IF(AND(D187&lt;&gt;"",E187&lt;&gt;"",E187&lt;D187),1,0)+IF(AND(D190&lt;&gt;"",E190&lt;&gt;"",E190&lt;D190),1,0)</f>
        <v/>
      </c>
      <c r="O182" s="5">
        <f>IF(AND(D186&lt;&gt;"",E186&lt;&gt;""),D186,0)+IF(AND(D187&lt;&gt;"",E187&lt;&gt;""),E187,0)+IF(AND(D190&lt;&gt;"",E190&lt;&gt;""),E190,0)</f>
        <v/>
      </c>
      <c r="P182" s="5">
        <f>IF(AND(D186&lt;&gt;"",E186&lt;&gt;""),E186,0)+IF(AND(D187&lt;&gt;"",E187&lt;&gt;""),D187,0)+IF(AND(D190&lt;&gt;"",E190&lt;&gt;""),D190,0)</f>
        <v/>
      </c>
      <c r="Q182" s="5">
        <f>O182-P182</f>
        <v/>
      </c>
      <c r="R182" s="5">
        <f>3*L182+M182</f>
        <v/>
      </c>
      <c r="S182">
        <f>R182*10000000+(Q182+99)*100000+O182*100+1</f>
        <v/>
      </c>
    </row>
    <row r="183"/>
    <row r="184" ht="16" customHeight="1">
      <c r="A184" s="6" t="inlineStr">
        <is>
          <t>MD</t>
        </is>
      </c>
      <c r="B184" s="6" t="inlineStr">
        <is>
          <t>Date / Time (ET)</t>
        </is>
      </c>
      <c r="C184" s="6" t="inlineStr">
        <is>
          <t>Home Team</t>
        </is>
      </c>
      <c r="D184" s="6" t="inlineStr">
        <is>
          <t>G</t>
        </is>
      </c>
      <c r="E184" s="6" t="inlineStr">
        <is>
          <t>G</t>
        </is>
      </c>
      <c r="F184" s="6" t="inlineStr">
        <is>
          <t>Away Team</t>
        </is>
      </c>
      <c r="G184" s="6" t="inlineStr">
        <is>
          <t>Venue</t>
        </is>
      </c>
    </row>
    <row r="185" ht="20" customHeight="1">
      <c r="A185" s="7" t="n">
        <v>1</v>
      </c>
      <c r="B185" s="8" t="inlineStr">
        <is>
          <t>Jun 17 · 4 pm ET</t>
        </is>
      </c>
      <c r="C185" s="9" t="inlineStr">
        <is>
          <t>England</t>
        </is>
      </c>
      <c r="D185" s="10">
        <f>RANDBETWEEN(0,4)</f>
        <v/>
      </c>
      <c r="E185" s="10">
        <f>RANDBETWEEN(0,4)</f>
        <v/>
      </c>
      <c r="F185" s="9" t="inlineStr">
        <is>
          <t>Croatia</t>
        </is>
      </c>
      <c r="G185" s="11" t="inlineStr">
        <is>
          <t>Dallas</t>
        </is>
      </c>
    </row>
    <row r="186" ht="20" customHeight="1">
      <c r="A186" s="7" t="n">
        <v>1</v>
      </c>
      <c r="B186" s="8" t="inlineStr">
        <is>
          <t>Jun 17 · 7 pm ET</t>
        </is>
      </c>
      <c r="C186" s="9" t="inlineStr">
        <is>
          <t>Ghana</t>
        </is>
      </c>
      <c r="D186" s="10">
        <f>RANDBETWEEN(0,4)</f>
        <v/>
      </c>
      <c r="E186" s="10">
        <f>RANDBETWEEN(0,4)</f>
        <v/>
      </c>
      <c r="F186" s="9" t="inlineStr">
        <is>
          <t>Panama</t>
        </is>
      </c>
      <c r="G186" s="11" t="inlineStr">
        <is>
          <t>Toronto</t>
        </is>
      </c>
    </row>
    <row r="187" ht="20" customHeight="1">
      <c r="A187" s="7" t="n">
        <v>2</v>
      </c>
      <c r="B187" s="8" t="inlineStr">
        <is>
          <t>Jun 23 · 4 pm ET</t>
        </is>
      </c>
      <c r="C187" s="9" t="inlineStr">
        <is>
          <t>England</t>
        </is>
      </c>
      <c r="D187" s="10">
        <f>RANDBETWEEN(0,4)</f>
        <v/>
      </c>
      <c r="E187" s="10">
        <f>RANDBETWEEN(0,4)</f>
        <v/>
      </c>
      <c r="F187" s="9" t="inlineStr">
        <is>
          <t>Ghana</t>
        </is>
      </c>
      <c r="G187" s="11" t="inlineStr">
        <is>
          <t>Boston</t>
        </is>
      </c>
    </row>
    <row r="188" ht="20" customHeight="1">
      <c r="A188" s="7" t="n">
        <v>2</v>
      </c>
      <c r="B188" s="8" t="inlineStr">
        <is>
          <t>Jun 23 · 7 pm ET</t>
        </is>
      </c>
      <c r="C188" s="9" t="inlineStr">
        <is>
          <t>Panama</t>
        </is>
      </c>
      <c r="D188" s="10">
        <f>RANDBETWEEN(0,4)</f>
        <v/>
      </c>
      <c r="E188" s="10">
        <f>RANDBETWEEN(0,4)</f>
        <v/>
      </c>
      <c r="F188" s="9" t="inlineStr">
        <is>
          <t>Croatia</t>
        </is>
      </c>
      <c r="G188" s="11" t="inlineStr">
        <is>
          <t>Toronto</t>
        </is>
      </c>
    </row>
    <row r="189" ht="20" customHeight="1">
      <c r="A189" s="7" t="n">
        <v>3</v>
      </c>
      <c r="B189" s="8" t="inlineStr">
        <is>
          <t>Jun 27 · 5 pm ET</t>
        </is>
      </c>
      <c r="C189" s="9" t="inlineStr">
        <is>
          <t>Panama</t>
        </is>
      </c>
      <c r="D189" s="10">
        <f>RANDBETWEEN(0,4)</f>
        <v/>
      </c>
      <c r="E189" s="10">
        <f>RANDBETWEEN(0,4)</f>
        <v/>
      </c>
      <c r="F189" s="9" t="inlineStr">
        <is>
          <t>England</t>
        </is>
      </c>
      <c r="G189" s="11" t="inlineStr">
        <is>
          <t>New York/NJ</t>
        </is>
      </c>
    </row>
    <row r="190" ht="20" customHeight="1">
      <c r="A190" s="7" t="n">
        <v>3</v>
      </c>
      <c r="B190" s="8" t="inlineStr">
        <is>
          <t>Jun 27 · 5 pm ET</t>
        </is>
      </c>
      <c r="C190" s="9" t="inlineStr">
        <is>
          <t>Croatia</t>
        </is>
      </c>
      <c r="D190" s="10">
        <f>RANDBETWEEN(0,4)</f>
        <v/>
      </c>
      <c r="E190" s="10">
        <f>RANDBETWEEN(0,4)</f>
        <v/>
      </c>
      <c r="F190" s="9" t="inlineStr">
        <is>
          <t>Ghana</t>
        </is>
      </c>
      <c r="G190" s="11" t="inlineStr">
        <is>
          <t>Philadelphia</t>
        </is>
      </c>
    </row>
    <row r="191"/>
    <row r="192"/>
    <row r="193" ht="18" customHeight="1">
      <c r="A193" s="13" t="inlineStr">
        <is>
          <t xml:space="preserve">  LEGEND</t>
        </is>
      </c>
    </row>
    <row r="194" ht="16" customHeight="1">
      <c r="A194" s="14" t="inlineStr">
        <is>
          <t xml:space="preserve">  ✅  1st &amp; 2nd place — qualify automatically to Round of 32</t>
        </is>
      </c>
    </row>
    <row r="195" ht="16" customHeight="1">
      <c r="A195" s="15" t="inlineStr">
        <is>
          <t xml:space="preserve">  ⚠️   3rd place — may qualify as one of the 8 best third-place finishers</t>
        </is>
      </c>
    </row>
    <row r="196" ht="16" customHeight="1">
      <c r="A196" s="16" t="inlineStr">
        <is>
          <t xml:space="preserve">  ❌  4th place — eliminated</t>
        </is>
      </c>
    </row>
    <row r="197" ht="16" customHeight="1">
      <c r="A197" s="17" t="inlineStr">
        <is>
          <t xml:space="preserve">  ✏️   Yellow cell — enter number of goals scored (integer ≥ 0)</t>
        </is>
      </c>
    </row>
  </sheetData>
  <mergeCells count="17">
    <mergeCell ref="A65:S65"/>
    <mergeCell ref="A81:S81"/>
    <mergeCell ref="A113:S113"/>
    <mergeCell ref="A33:S33"/>
    <mergeCell ref="A49:S49"/>
    <mergeCell ref="A129:S129"/>
    <mergeCell ref="A161:S161"/>
    <mergeCell ref="A177:S177"/>
    <mergeCell ref="A193:G193"/>
    <mergeCell ref="A197:G197"/>
    <mergeCell ref="A1:S1"/>
    <mergeCell ref="A17:S17"/>
    <mergeCell ref="A97:S97"/>
    <mergeCell ref="A196:G196"/>
    <mergeCell ref="A195:G195"/>
    <mergeCell ref="A145:S145"/>
    <mergeCell ref="A194:G194"/>
  </mergeCells>
  <conditionalFormatting sqref="I3:R6">
    <cfRule type="expression" priority="1" dxfId="0">
      <formula>RANK($R3,$R$3:$R$6,0)=1</formula>
    </cfRule>
    <cfRule type="expression" priority="2" dxfId="1">
      <formula>RANK($R3,$R$3:$R$6,0)=2</formula>
    </cfRule>
    <cfRule type="expression" priority="3" dxfId="2">
      <formula>RANK($R3,$R$3:$R$6,0)=3</formula>
    </cfRule>
    <cfRule type="expression" priority="4" dxfId="3">
      <formula>RANK($R3,$R$3:$R$6,0)=4</formula>
    </cfRule>
  </conditionalFormatting>
  <conditionalFormatting sqref="I19:R22">
    <cfRule type="expression" priority="5" dxfId="0">
      <formula>RANK($R19,$R$19:$R$22,0)=1</formula>
    </cfRule>
    <cfRule type="expression" priority="6" dxfId="1">
      <formula>RANK($R19,$R$19:$R$22,0)=2</formula>
    </cfRule>
    <cfRule type="expression" priority="7" dxfId="2">
      <formula>RANK($R19,$R$19:$R$22,0)=3</formula>
    </cfRule>
    <cfRule type="expression" priority="8" dxfId="3">
      <formula>RANK($R19,$R$19:$R$22,0)=4</formula>
    </cfRule>
  </conditionalFormatting>
  <conditionalFormatting sqref="I35:R38">
    <cfRule type="expression" priority="9" dxfId="0">
      <formula>RANK($R35,$R$35:$R$38,0)=1</formula>
    </cfRule>
    <cfRule type="expression" priority="10" dxfId="1">
      <formula>RANK($R35,$R$35:$R$38,0)=2</formula>
    </cfRule>
    <cfRule type="expression" priority="11" dxfId="2">
      <formula>RANK($R35,$R$35:$R$38,0)=3</formula>
    </cfRule>
    <cfRule type="expression" priority="12" dxfId="3">
      <formula>RANK($R35,$R$35:$R$38,0)=4</formula>
    </cfRule>
  </conditionalFormatting>
  <conditionalFormatting sqref="I51:R54">
    <cfRule type="expression" priority="13" dxfId="0">
      <formula>RANK($R51,$R$51:$R$54,0)=1</formula>
    </cfRule>
    <cfRule type="expression" priority="14" dxfId="1">
      <formula>RANK($R51,$R$51:$R$54,0)=2</formula>
    </cfRule>
    <cfRule type="expression" priority="15" dxfId="2">
      <formula>RANK($R51,$R$51:$R$54,0)=3</formula>
    </cfRule>
    <cfRule type="expression" priority="16" dxfId="3">
      <formula>RANK($R51,$R$51:$R$54,0)=4</formula>
    </cfRule>
  </conditionalFormatting>
  <conditionalFormatting sqref="I67:R70">
    <cfRule type="expression" priority="17" dxfId="0">
      <formula>RANK($R67,$R$67:$R$70,0)=1</formula>
    </cfRule>
    <cfRule type="expression" priority="18" dxfId="1">
      <formula>RANK($R67,$R$67:$R$70,0)=2</formula>
    </cfRule>
    <cfRule type="expression" priority="19" dxfId="2">
      <formula>RANK($R67,$R$67:$R$70,0)=3</formula>
    </cfRule>
    <cfRule type="expression" priority="20" dxfId="3">
      <formula>RANK($R67,$R$67:$R$70,0)=4</formula>
    </cfRule>
  </conditionalFormatting>
  <conditionalFormatting sqref="I83:R86">
    <cfRule type="expression" priority="21" dxfId="0">
      <formula>RANK($R83,$R$83:$R$86,0)=1</formula>
    </cfRule>
    <cfRule type="expression" priority="22" dxfId="1">
      <formula>RANK($R83,$R$83:$R$86,0)=2</formula>
    </cfRule>
    <cfRule type="expression" priority="23" dxfId="2">
      <formula>RANK($R83,$R$83:$R$86,0)=3</formula>
    </cfRule>
    <cfRule type="expression" priority="24" dxfId="3">
      <formula>RANK($R83,$R$83:$R$86,0)=4</formula>
    </cfRule>
  </conditionalFormatting>
  <conditionalFormatting sqref="I99:R102">
    <cfRule type="expression" priority="25" dxfId="0">
      <formula>RANK($R99,$R$99:$R$102,0)=1</formula>
    </cfRule>
    <cfRule type="expression" priority="26" dxfId="1">
      <formula>RANK($R99,$R$99:$R$102,0)=2</formula>
    </cfRule>
    <cfRule type="expression" priority="27" dxfId="2">
      <formula>RANK($R99,$R$99:$R$102,0)=3</formula>
    </cfRule>
    <cfRule type="expression" priority="28" dxfId="3">
      <formula>RANK($R99,$R$99:$R$102,0)=4</formula>
    </cfRule>
  </conditionalFormatting>
  <conditionalFormatting sqref="I115:R118">
    <cfRule type="expression" priority="29" dxfId="0">
      <formula>RANK($R115,$R$115:$R$118,0)=1</formula>
    </cfRule>
    <cfRule type="expression" priority="30" dxfId="1">
      <formula>RANK($R115,$R$115:$R$118,0)=2</formula>
    </cfRule>
    <cfRule type="expression" priority="31" dxfId="2">
      <formula>RANK($R115,$R$115:$R$118,0)=3</formula>
    </cfRule>
    <cfRule type="expression" priority="32" dxfId="3">
      <formula>RANK($R115,$R$115:$R$118,0)=4</formula>
    </cfRule>
  </conditionalFormatting>
  <conditionalFormatting sqref="I131:R134">
    <cfRule type="expression" priority="33" dxfId="0">
      <formula>RANK($R131,$R$131:$R$134,0)=1</formula>
    </cfRule>
    <cfRule type="expression" priority="34" dxfId="1">
      <formula>RANK($R131,$R$131:$R$134,0)=2</formula>
    </cfRule>
    <cfRule type="expression" priority="35" dxfId="2">
      <formula>RANK($R131,$R$131:$R$134,0)=3</formula>
    </cfRule>
    <cfRule type="expression" priority="36" dxfId="3">
      <formula>RANK($R131,$R$131:$R$134,0)=4</formula>
    </cfRule>
  </conditionalFormatting>
  <conditionalFormatting sqref="I147:R150">
    <cfRule type="expression" priority="37" dxfId="0">
      <formula>RANK($R147,$R$147:$R$150,0)=1</formula>
    </cfRule>
    <cfRule type="expression" priority="38" dxfId="1">
      <formula>RANK($R147,$R$147:$R$150,0)=2</formula>
    </cfRule>
    <cfRule type="expression" priority="39" dxfId="2">
      <formula>RANK($R147,$R$147:$R$150,0)=3</formula>
    </cfRule>
    <cfRule type="expression" priority="40" dxfId="3">
      <formula>RANK($R147,$R$147:$R$150,0)=4</formula>
    </cfRule>
  </conditionalFormatting>
  <conditionalFormatting sqref="I163:R166">
    <cfRule type="expression" priority="41" dxfId="0">
      <formula>RANK($R163,$R$163:$R$166,0)=1</formula>
    </cfRule>
    <cfRule type="expression" priority="42" dxfId="1">
      <formula>RANK($R163,$R$163:$R$166,0)=2</formula>
    </cfRule>
    <cfRule type="expression" priority="43" dxfId="2">
      <formula>RANK($R163,$R$163:$R$166,0)=3</formula>
    </cfRule>
    <cfRule type="expression" priority="44" dxfId="3">
      <formula>RANK($R163,$R$163:$R$166,0)=4</formula>
    </cfRule>
  </conditionalFormatting>
  <conditionalFormatting sqref="I179:R182">
    <cfRule type="expression" priority="45" dxfId="0">
      <formula>RANK($R179,$R$179:$R$182,0)=1</formula>
    </cfRule>
    <cfRule type="expression" priority="46" dxfId="1">
      <formula>RANK($R179,$R$179:$R$182,0)=2</formula>
    </cfRule>
    <cfRule type="expression" priority="47" dxfId="2">
      <formula>RANK($R179,$R$179:$R$182,0)=3</formula>
    </cfRule>
    <cfRule type="expression" priority="48" dxfId="3">
      <formula>RANK($R179,$R$179:$R$182,0)=4</formula>
    </cfRule>
  </conditionalFormatting>
  <dataValidations count="144">
    <dataValidation sqref="D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2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2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2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2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3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3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4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4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4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4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4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4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4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4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4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4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4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4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5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5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5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5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5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5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6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6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6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6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6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6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7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7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7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7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7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7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7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7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7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7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7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7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8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8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9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9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9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9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9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9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9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9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9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9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0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0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0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0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0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0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0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0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0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0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3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3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3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3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4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4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4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4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4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4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5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5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5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5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5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5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5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5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5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5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5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5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6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6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7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7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7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7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7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7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7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7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7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7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8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8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8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8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8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8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8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8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8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8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D19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E19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8" t="inlineStr">
        <is>
          <t xml:space="preserve">  🏟️  Clasificados · Qualified Teams</t>
        </is>
      </c>
    </row>
    <row r="2" ht="16" customHeight="1">
      <c r="A2" s="19" t="inlineStr">
        <is>
          <t xml:space="preserve">  Rankings update automatically as you enter scores in the Fase de Grupos tab.</t>
        </is>
      </c>
    </row>
    <row r="3" ht="18" customHeight="1">
      <c r="A3" s="20" t="inlineStr">
        <is>
          <t>Group</t>
        </is>
      </c>
      <c r="B3" s="20" t="inlineStr">
        <is>
          <t>1st Place ✅</t>
        </is>
      </c>
      <c r="C3" s="20" t="inlineStr">
        <is>
          <t>2nd Place ✅</t>
        </is>
      </c>
      <c r="D3" s="20" t="inlineStr">
        <is>
          <t>3rd Place ⚠️</t>
        </is>
      </c>
      <c r="E3" s="20" t="inlineStr">
        <is>
          <t>4th Place ❌</t>
        </is>
      </c>
    </row>
    <row r="4" ht="20" customHeight="1">
      <c r="A4" s="21" t="inlineStr">
        <is>
          <t>Group A</t>
        </is>
      </c>
      <c r="B4" s="22">
        <f>IFERROR(INDEX('Fase de Grupos'!$J$3:$J$6,MATCH(LARGE('Fase de Grupos'!$S$3:$S$6,1),'Fase de Grupos'!$S$3:$S$6,0)),"—")</f>
        <v/>
      </c>
      <c r="C4" s="23">
        <f>IFERROR(INDEX('Fase de Grupos'!$J$3:$J$6,MATCH(LARGE('Fase de Grupos'!$S$3:$S$6,2),'Fase de Grupos'!$S$3:$S$6,0)),"—")</f>
        <v/>
      </c>
      <c r="D4" s="24">
        <f>IFERROR(INDEX('Fase de Grupos'!$J$3:$J$6,MATCH(LARGE('Fase de Grupos'!$S$3:$S$6,3),'Fase de Grupos'!$S$3:$S$6,0)),"—")</f>
        <v/>
      </c>
      <c r="E4" s="25">
        <f>IFERROR(INDEX('Fase de Grupos'!$J$3:$J$6,MATCH(LARGE('Fase de Grupos'!$S$3:$S$6,4),'Fase de Grupos'!$S$3:$S$6,0)),"—")</f>
        <v/>
      </c>
    </row>
    <row r="5" ht="20" customHeight="1">
      <c r="A5" s="21" t="inlineStr">
        <is>
          <t>Group B</t>
        </is>
      </c>
      <c r="B5" s="22">
        <f>IFERROR(INDEX('Fase de Grupos'!$J$19:$J$22,MATCH(LARGE('Fase de Grupos'!$S$19:$S$22,1),'Fase de Grupos'!$S$19:$S$22,0)),"—")</f>
        <v/>
      </c>
      <c r="C5" s="23">
        <f>IFERROR(INDEX('Fase de Grupos'!$J$19:$J$22,MATCH(LARGE('Fase de Grupos'!$S$19:$S$22,2),'Fase de Grupos'!$S$19:$S$22,0)),"—")</f>
        <v/>
      </c>
      <c r="D5" s="24">
        <f>IFERROR(INDEX('Fase de Grupos'!$J$19:$J$22,MATCH(LARGE('Fase de Grupos'!$S$19:$S$22,3),'Fase de Grupos'!$S$19:$S$22,0)),"—")</f>
        <v/>
      </c>
      <c r="E5" s="25">
        <f>IFERROR(INDEX('Fase de Grupos'!$J$19:$J$22,MATCH(LARGE('Fase de Grupos'!$S$19:$S$22,4),'Fase de Grupos'!$S$19:$S$22,0)),"—")</f>
        <v/>
      </c>
    </row>
    <row r="6" ht="20" customHeight="1">
      <c r="A6" s="21" t="inlineStr">
        <is>
          <t>Group C</t>
        </is>
      </c>
      <c r="B6" s="22">
        <f>IFERROR(INDEX('Fase de Grupos'!$J$35:$J$38,MATCH(LARGE('Fase de Grupos'!$S$35:$S$38,1),'Fase de Grupos'!$S$35:$S$38,0)),"—")</f>
        <v/>
      </c>
      <c r="C6" s="23">
        <f>IFERROR(INDEX('Fase de Grupos'!$J$35:$J$38,MATCH(LARGE('Fase de Grupos'!$S$35:$S$38,2),'Fase de Grupos'!$S$35:$S$38,0)),"—")</f>
        <v/>
      </c>
      <c r="D6" s="24">
        <f>IFERROR(INDEX('Fase de Grupos'!$J$35:$J$38,MATCH(LARGE('Fase de Grupos'!$S$35:$S$38,3),'Fase de Grupos'!$S$35:$S$38,0)),"—")</f>
        <v/>
      </c>
      <c r="E6" s="25">
        <f>IFERROR(INDEX('Fase de Grupos'!$J$35:$J$38,MATCH(LARGE('Fase de Grupos'!$S$35:$S$38,4),'Fase de Grupos'!$S$35:$S$38,0)),"—")</f>
        <v/>
      </c>
    </row>
    <row r="7" ht="20" customHeight="1">
      <c r="A7" s="21" t="inlineStr">
        <is>
          <t>Group D</t>
        </is>
      </c>
      <c r="B7" s="22">
        <f>IFERROR(INDEX('Fase de Grupos'!$J$51:$J$54,MATCH(LARGE('Fase de Grupos'!$S$51:$S$54,1),'Fase de Grupos'!$S$51:$S$54,0)),"—")</f>
        <v/>
      </c>
      <c r="C7" s="23">
        <f>IFERROR(INDEX('Fase de Grupos'!$J$51:$J$54,MATCH(LARGE('Fase de Grupos'!$S$51:$S$54,2),'Fase de Grupos'!$S$51:$S$54,0)),"—")</f>
        <v/>
      </c>
      <c r="D7" s="24">
        <f>IFERROR(INDEX('Fase de Grupos'!$J$51:$J$54,MATCH(LARGE('Fase de Grupos'!$S$51:$S$54,3),'Fase de Grupos'!$S$51:$S$54,0)),"—")</f>
        <v/>
      </c>
      <c r="E7" s="25">
        <f>IFERROR(INDEX('Fase de Grupos'!$J$51:$J$54,MATCH(LARGE('Fase de Grupos'!$S$51:$S$54,4),'Fase de Grupos'!$S$51:$S$54,0)),"—")</f>
        <v/>
      </c>
    </row>
    <row r="8" ht="20" customHeight="1">
      <c r="A8" s="21" t="inlineStr">
        <is>
          <t>Group E</t>
        </is>
      </c>
      <c r="B8" s="22">
        <f>IFERROR(INDEX('Fase de Grupos'!$J$67:$J$70,MATCH(LARGE('Fase de Grupos'!$S$67:$S$70,1),'Fase de Grupos'!$S$67:$S$70,0)),"—")</f>
        <v/>
      </c>
      <c r="C8" s="23">
        <f>IFERROR(INDEX('Fase de Grupos'!$J$67:$J$70,MATCH(LARGE('Fase de Grupos'!$S$67:$S$70,2),'Fase de Grupos'!$S$67:$S$70,0)),"—")</f>
        <v/>
      </c>
      <c r="D8" s="24">
        <f>IFERROR(INDEX('Fase de Grupos'!$J$67:$J$70,MATCH(LARGE('Fase de Grupos'!$S$67:$S$70,3),'Fase de Grupos'!$S$67:$S$70,0)),"—")</f>
        <v/>
      </c>
      <c r="E8" s="25">
        <f>IFERROR(INDEX('Fase de Grupos'!$J$67:$J$70,MATCH(LARGE('Fase de Grupos'!$S$67:$S$70,4),'Fase de Grupos'!$S$67:$S$70,0)),"—")</f>
        <v/>
      </c>
    </row>
    <row r="9" ht="20" customHeight="1">
      <c r="A9" s="21" t="inlineStr">
        <is>
          <t>Group F</t>
        </is>
      </c>
      <c r="B9" s="22">
        <f>IFERROR(INDEX('Fase de Grupos'!$J$83:$J$86,MATCH(LARGE('Fase de Grupos'!$S$83:$S$86,1),'Fase de Grupos'!$S$83:$S$86,0)),"—")</f>
        <v/>
      </c>
      <c r="C9" s="23">
        <f>IFERROR(INDEX('Fase de Grupos'!$J$83:$J$86,MATCH(LARGE('Fase de Grupos'!$S$83:$S$86,2),'Fase de Grupos'!$S$83:$S$86,0)),"—")</f>
        <v/>
      </c>
      <c r="D9" s="24">
        <f>IFERROR(INDEX('Fase de Grupos'!$J$83:$J$86,MATCH(LARGE('Fase de Grupos'!$S$83:$S$86,3),'Fase de Grupos'!$S$83:$S$86,0)),"—")</f>
        <v/>
      </c>
      <c r="E9" s="25">
        <f>IFERROR(INDEX('Fase de Grupos'!$J$83:$J$86,MATCH(LARGE('Fase de Grupos'!$S$83:$S$86,4),'Fase de Grupos'!$S$83:$S$86,0)),"—")</f>
        <v/>
      </c>
    </row>
    <row r="10" ht="20" customHeight="1">
      <c r="A10" s="21" t="inlineStr">
        <is>
          <t>Group G</t>
        </is>
      </c>
      <c r="B10" s="22">
        <f>IFERROR(INDEX('Fase de Grupos'!$J$99:$J$102,MATCH(LARGE('Fase de Grupos'!$S$99:$S$102,1),'Fase de Grupos'!$S$99:$S$102,0)),"—")</f>
        <v/>
      </c>
      <c r="C10" s="23">
        <f>IFERROR(INDEX('Fase de Grupos'!$J$99:$J$102,MATCH(LARGE('Fase de Grupos'!$S$99:$S$102,2),'Fase de Grupos'!$S$99:$S$102,0)),"—")</f>
        <v/>
      </c>
      <c r="D10" s="24">
        <f>IFERROR(INDEX('Fase de Grupos'!$J$99:$J$102,MATCH(LARGE('Fase de Grupos'!$S$99:$S$102,3),'Fase de Grupos'!$S$99:$S$102,0)),"—")</f>
        <v/>
      </c>
      <c r="E10" s="25">
        <f>IFERROR(INDEX('Fase de Grupos'!$J$99:$J$102,MATCH(LARGE('Fase de Grupos'!$S$99:$S$102,4),'Fase de Grupos'!$S$99:$S$102,0)),"—")</f>
        <v/>
      </c>
    </row>
    <row r="11" ht="20" customHeight="1">
      <c r="A11" s="21" t="inlineStr">
        <is>
          <t>Group H</t>
        </is>
      </c>
      <c r="B11" s="22">
        <f>IFERROR(INDEX('Fase de Grupos'!$J$115:$J$118,MATCH(LARGE('Fase de Grupos'!$S$115:$S$118,1),'Fase de Grupos'!$S$115:$S$118,0)),"—")</f>
        <v/>
      </c>
      <c r="C11" s="23">
        <f>IFERROR(INDEX('Fase de Grupos'!$J$115:$J$118,MATCH(LARGE('Fase de Grupos'!$S$115:$S$118,2),'Fase de Grupos'!$S$115:$S$118,0)),"—")</f>
        <v/>
      </c>
      <c r="D11" s="24">
        <f>IFERROR(INDEX('Fase de Grupos'!$J$115:$J$118,MATCH(LARGE('Fase de Grupos'!$S$115:$S$118,3),'Fase de Grupos'!$S$115:$S$118,0)),"—")</f>
        <v/>
      </c>
      <c r="E11" s="25">
        <f>IFERROR(INDEX('Fase de Grupos'!$J$115:$J$118,MATCH(LARGE('Fase de Grupos'!$S$115:$S$118,4),'Fase de Grupos'!$S$115:$S$118,0)),"—")</f>
        <v/>
      </c>
    </row>
    <row r="12" ht="20" customHeight="1">
      <c r="A12" s="21" t="inlineStr">
        <is>
          <t>Group I</t>
        </is>
      </c>
      <c r="B12" s="22">
        <f>IFERROR(INDEX('Fase de Grupos'!$J$131:$J$134,MATCH(LARGE('Fase de Grupos'!$S$131:$S$134,1),'Fase de Grupos'!$S$131:$S$134,0)),"—")</f>
        <v/>
      </c>
      <c r="C12" s="23">
        <f>IFERROR(INDEX('Fase de Grupos'!$J$131:$J$134,MATCH(LARGE('Fase de Grupos'!$S$131:$S$134,2),'Fase de Grupos'!$S$131:$S$134,0)),"—")</f>
        <v/>
      </c>
      <c r="D12" s="24">
        <f>IFERROR(INDEX('Fase de Grupos'!$J$131:$J$134,MATCH(LARGE('Fase de Grupos'!$S$131:$S$134,3),'Fase de Grupos'!$S$131:$S$134,0)),"—")</f>
        <v/>
      </c>
      <c r="E12" s="25">
        <f>IFERROR(INDEX('Fase de Grupos'!$J$131:$J$134,MATCH(LARGE('Fase de Grupos'!$S$131:$S$134,4),'Fase de Grupos'!$S$131:$S$134,0)),"—")</f>
        <v/>
      </c>
    </row>
    <row r="13" ht="20" customHeight="1">
      <c r="A13" s="21" t="inlineStr">
        <is>
          <t>Group J</t>
        </is>
      </c>
      <c r="B13" s="22">
        <f>IFERROR(INDEX('Fase de Grupos'!$J$147:$J$150,MATCH(LARGE('Fase de Grupos'!$S$147:$S$150,1),'Fase de Grupos'!$S$147:$S$150,0)),"—")</f>
        <v/>
      </c>
      <c r="C13" s="23">
        <f>IFERROR(INDEX('Fase de Grupos'!$J$147:$J$150,MATCH(LARGE('Fase de Grupos'!$S$147:$S$150,2),'Fase de Grupos'!$S$147:$S$150,0)),"—")</f>
        <v/>
      </c>
      <c r="D13" s="24">
        <f>IFERROR(INDEX('Fase de Grupos'!$J$147:$J$150,MATCH(LARGE('Fase de Grupos'!$S$147:$S$150,3),'Fase de Grupos'!$S$147:$S$150,0)),"—")</f>
        <v/>
      </c>
      <c r="E13" s="25">
        <f>IFERROR(INDEX('Fase de Grupos'!$J$147:$J$150,MATCH(LARGE('Fase de Grupos'!$S$147:$S$150,4),'Fase de Grupos'!$S$147:$S$150,0)),"—")</f>
        <v/>
      </c>
    </row>
    <row r="14" ht="20" customHeight="1">
      <c r="A14" s="21" t="inlineStr">
        <is>
          <t>Group K</t>
        </is>
      </c>
      <c r="B14" s="22">
        <f>IFERROR(INDEX('Fase de Grupos'!$J$163:$J$166,MATCH(LARGE('Fase de Grupos'!$S$163:$S$166,1),'Fase de Grupos'!$S$163:$S$166,0)),"—")</f>
        <v/>
      </c>
      <c r="C14" s="23">
        <f>IFERROR(INDEX('Fase de Grupos'!$J$163:$J$166,MATCH(LARGE('Fase de Grupos'!$S$163:$S$166,2),'Fase de Grupos'!$S$163:$S$166,0)),"—")</f>
        <v/>
      </c>
      <c r="D14" s="24">
        <f>IFERROR(INDEX('Fase de Grupos'!$J$163:$J$166,MATCH(LARGE('Fase de Grupos'!$S$163:$S$166,3),'Fase de Grupos'!$S$163:$S$166,0)),"—")</f>
        <v/>
      </c>
      <c r="E14" s="25">
        <f>IFERROR(INDEX('Fase de Grupos'!$J$163:$J$166,MATCH(LARGE('Fase de Grupos'!$S$163:$S$166,4),'Fase de Grupos'!$S$163:$S$166,0)),"—")</f>
        <v/>
      </c>
    </row>
    <row r="15" ht="20" customHeight="1">
      <c r="A15" s="21" t="inlineStr">
        <is>
          <t>Group L</t>
        </is>
      </c>
      <c r="B15" s="22">
        <f>IFERROR(INDEX('Fase de Grupos'!$J$179:$J$182,MATCH(LARGE('Fase de Grupos'!$S$179:$S$182,1),'Fase de Grupos'!$S$179:$S$182,0)),"—")</f>
        <v/>
      </c>
      <c r="C15" s="23">
        <f>IFERROR(INDEX('Fase de Grupos'!$J$179:$J$182,MATCH(LARGE('Fase de Grupos'!$S$179:$S$182,2),'Fase de Grupos'!$S$179:$S$182,0)),"—")</f>
        <v/>
      </c>
      <c r="D15" s="24">
        <f>IFERROR(INDEX('Fase de Grupos'!$J$179:$J$182,MATCH(LARGE('Fase de Grupos'!$S$179:$S$182,3),'Fase de Grupos'!$S$179:$S$182,0)),"—")</f>
        <v/>
      </c>
      <c r="E15" s="25">
        <f>IFERROR(INDEX('Fase de Grupos'!$J$179:$J$182,MATCH(LARGE('Fase de Grupos'!$S$179:$S$182,4),'Fase de Grupos'!$S$179:$S$182,0)),"—")</f>
        <v/>
      </c>
    </row>
    <row r="17" ht="36" customHeight="1">
      <c r="A17" s="26" t="inlineStr">
        <is>
          <t xml:space="preserve">  ⚠️  The 8 best 3rd-place finishers also advance to the Round of 32. Those slots are determined after all groups complete and must be entered manually in the Bracket tab.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showGridLines="0" zoomScale="70"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14" customWidth="1" min="4" max="4"/>
    <col width="14" customWidth="1" min="5" max="5"/>
    <col width="5" customWidth="1" min="6" max="6"/>
    <col width="5" customWidth="1" min="7" max="7"/>
    <col width="14" customWidth="1" min="8" max="8"/>
    <col width="14" customWidth="1" min="9" max="9"/>
    <col width="5" customWidth="1" min="10" max="10"/>
    <col width="5" customWidth="1" min="11" max="11"/>
    <col width="14" customWidth="1" min="12" max="12"/>
    <col width="14" customWidth="1" min="13" max="13"/>
    <col width="5" customWidth="1" min="14" max="14"/>
    <col width="5" customWidth="1" min="15" max="15"/>
    <col width="14" customWidth="1" min="16" max="16"/>
    <col width="14" customWidth="1" min="17" max="17"/>
    <col width="5" customWidth="1" min="18" max="18"/>
    <col width="5" customWidth="1" min="19" max="19"/>
    <col width="14" customWidth="1" min="20" max="20"/>
    <col width="14" customWidth="1" min="21" max="21"/>
    <col width="5" customWidth="1" min="22" max="22"/>
    <col width="5" customWidth="1" min="23" max="23"/>
    <col width="14" customWidth="1" min="24" max="24"/>
    <col width="14" customWidth="1" min="25" max="25"/>
    <col width="5" customWidth="1" min="26" max="26"/>
    <col width="5" customWidth="1" min="27" max="27"/>
    <col width="14" customWidth="1" min="28" max="28"/>
    <col width="14" customWidth="1" min="29" max="29"/>
    <col width="5" customWidth="1" min="30" max="30"/>
    <col width="5" customWidth="1" min="31" max="31"/>
    <col width="14" customWidth="1" min="32" max="32"/>
    <col width="14" customWidth="1" min="33" max="33"/>
    <col width="5" customWidth="1" min="34" max="34"/>
    <col width="5" customWidth="1" min="35" max="35"/>
    <col width="14" customWidth="1" min="36" max="36"/>
  </cols>
  <sheetData>
    <row r="1" ht="36" customHeight="1">
      <c r="A1" s="27" t="inlineStr">
        <is>
          <t>🏆  FIFA WORLD CUP 2026  ·  KNOCKOUT BRACKET  🏆</t>
        </is>
      </c>
    </row>
    <row r="2" ht="8" customHeight="1"/>
    <row r="3" ht="14" customHeight="1">
      <c r="A3" s="28" t="inlineStr">
        <is>
          <t xml:space="preserve">  ✏️ Yellow cells = goals (90 min + ET combined)  ·  Blue-grey rows = Penalty shootout score (only if tied after ET)  ·  Blue-grey team cells = best 3rd-place qualifier — type the country name after the group stage</t>
        </is>
      </c>
    </row>
    <row r="4" ht="18" customHeight="1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  <c r="AA4" s="29" t="n"/>
      <c r="AB4" s="29" t="n"/>
      <c r="AC4" s="29" t="n"/>
      <c r="AD4" s="29" t="n"/>
      <c r="AE4" s="29" t="n"/>
      <c r="AF4" s="29" t="n"/>
      <c r="AG4" s="29" t="n"/>
      <c r="AH4" s="29" t="n"/>
      <c r="AI4" s="29" t="n"/>
      <c r="AJ4" s="29" t="n"/>
    </row>
    <row r="5" ht="18" customHeight="1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29" t="n"/>
      <c r="AB5" s="29" t="n"/>
      <c r="AC5" s="29" t="n"/>
      <c r="AD5" s="29" t="n"/>
      <c r="AE5" s="29" t="n"/>
      <c r="AF5" s="29" t="n"/>
      <c r="AG5" s="29" t="n"/>
      <c r="AH5" s="29" t="n"/>
      <c r="AI5" s="29" t="n"/>
      <c r="AJ5" s="29" t="n"/>
    </row>
    <row r="6" ht="26" customHeight="1">
      <c r="A6" s="30" t="inlineStr">
        <is>
          <t>ROUND OF 32
Jun 28 – Jul 3</t>
        </is>
      </c>
      <c r="E6" s="30" t="inlineStr">
        <is>
          <t>ROUND OF 16
Jul 4 – 7</t>
        </is>
      </c>
      <c r="I6" s="31" t="inlineStr">
        <is>
          <t>QUARTER-FINALS
Jul 9 – 11</t>
        </is>
      </c>
      <c r="M6" s="31" t="inlineStr">
        <is>
          <t>SEMI-FINALS
Jul 14 – 15</t>
        </is>
      </c>
      <c r="Q6" s="31" t="inlineStr">
        <is>
          <t>🏆  FINAL  🏆
Jul 19 · New York / NJ</t>
        </is>
      </c>
      <c r="U6" s="31" t="inlineStr">
        <is>
          <t>SEMI-FINALS
Jul 14 – 15</t>
        </is>
      </c>
      <c r="Y6" s="31" t="inlineStr">
        <is>
          <t>QUARTER-FINALS
Jul 9 – 11</t>
        </is>
      </c>
      <c r="AC6" s="30" t="inlineStr">
        <is>
          <t>ROUND OF 16
Jul 4 – 7</t>
        </is>
      </c>
      <c r="AG6" s="30" t="inlineStr">
        <is>
          <t>ROUND OF 32
Jun 28 – Jul 3</t>
        </is>
      </c>
    </row>
    <row r="7" ht="18" customHeight="1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29" t="n"/>
      <c r="AC7" s="29" t="n"/>
      <c r="AD7" s="29" t="n"/>
      <c r="AE7" s="29" t="n"/>
      <c r="AF7" s="29" t="n"/>
      <c r="AG7" s="29" t="n"/>
      <c r="AH7" s="29" t="n"/>
      <c r="AI7" s="29" t="n"/>
      <c r="AJ7" s="29" t="n"/>
    </row>
    <row r="8" ht="13" customHeight="1">
      <c r="A8" s="32" t="inlineStr">
        <is>
          <t>Jun 28  ·  Los Angeles</t>
        </is>
      </c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  <c r="AB8" s="29" t="n"/>
      <c r="AC8" s="29" t="n"/>
      <c r="AD8" s="29" t="n"/>
      <c r="AE8" s="29" t="n"/>
      <c r="AF8" s="29" t="n"/>
      <c r="AG8" s="32" t="inlineStr">
        <is>
          <t>Jul 1  ·  Seattle</t>
        </is>
      </c>
    </row>
    <row r="9" ht="20" customHeight="1">
      <c r="A9" s="33">
        <f>'Clasificados'!$C$4</f>
        <v/>
      </c>
      <c r="B9" s="10">
        <f>RANDBETWEEN(0,4)</f>
        <v/>
      </c>
      <c r="C9" s="10">
        <f>RANDBETWEEN(0,4)</f>
        <v/>
      </c>
      <c r="D9" s="34">
        <f>'Clasificados'!$C$5</f>
        <v/>
      </c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  <c r="AA9" s="29" t="n"/>
      <c r="AB9" s="29" t="n"/>
      <c r="AC9" s="29" t="n"/>
      <c r="AD9" s="29" t="n"/>
      <c r="AE9" s="29" t="n"/>
      <c r="AF9" s="29" t="n"/>
      <c r="AG9" s="33">
        <f>'Clasificados'!$B$10</f>
        <v/>
      </c>
      <c r="AH9" s="10">
        <f>RANDBETWEEN(0,4)</f>
        <v/>
      </c>
      <c r="AI9" s="10">
        <f>RANDBETWEEN(0,4)</f>
        <v/>
      </c>
      <c r="AJ9" s="34" t="inlineStr">
        <is>
          <t>New Zealand</t>
        </is>
      </c>
    </row>
    <row r="10" ht="14" customHeight="1">
      <c r="A10" s="35" t="inlineStr">
        <is>
          <t>Pen →</t>
        </is>
      </c>
      <c r="B10" s="36">
        <f>RANDBETWEEN(3,7)</f>
        <v/>
      </c>
      <c r="C10" s="36">
        <f>RANDBETWEEN(3,7)</f>
        <v/>
      </c>
      <c r="D10" s="37" t="inlineStr">
        <is>
          <t>← Pen</t>
        </is>
      </c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  <c r="AA10" s="29" t="n"/>
      <c r="AB10" s="29" t="n"/>
      <c r="AC10" s="29" t="n"/>
      <c r="AD10" s="29" t="n"/>
      <c r="AE10" s="29" t="n"/>
      <c r="AF10" s="29" t="n"/>
      <c r="AG10" s="35" t="inlineStr">
        <is>
          <t>Pen →</t>
        </is>
      </c>
      <c r="AH10" s="36">
        <f>RANDBETWEEN(3,7)</f>
        <v/>
      </c>
      <c r="AI10" s="36">
        <f>RANDBETWEEN(3,7)</f>
        <v/>
      </c>
      <c r="AJ10" s="37" t="inlineStr">
        <is>
          <t>← Pen</t>
        </is>
      </c>
    </row>
    <row r="11" ht="13" customHeight="1">
      <c r="A11" s="29" t="n"/>
      <c r="B11" s="29" t="n"/>
      <c r="C11" s="29" t="n"/>
      <c r="D11" s="29" t="n"/>
      <c r="E11" s="32" t="inlineStr">
        <is>
          <t>Jul 4  ·  Houston</t>
        </is>
      </c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32" t="inlineStr">
        <is>
          <t>Jul 6  ·  Dallas</t>
        </is>
      </c>
      <c r="AG11" s="29" t="n"/>
      <c r="AH11" s="29" t="n"/>
      <c r="AI11" s="29" t="n"/>
      <c r="AJ11" s="29" t="n"/>
    </row>
    <row r="12" ht="20" customHeight="1">
      <c r="A12" s="32" t="inlineStr">
        <is>
          <t>Jun 29  ·  Houston</t>
        </is>
      </c>
      <c r="E12" s="33">
        <f>IF(AND($B$9&lt;&gt;"",$C$9&lt;&gt;"",$A$9&lt;&gt;"",$D$9&lt;&gt;""),IF($B$9&gt;$C$9,$A$9,IF($C$9&gt;$B$9,$D$9,IF(AND($B$10&lt;&gt;"",$C$10&lt;&gt;""),IF($B$10&gt;$C$10,$A$9,IF($B$10&lt;$C$10,$D$9,"TBD")),"TBD"))),"—")</f>
        <v/>
      </c>
      <c r="F12" s="10">
        <f>RANDBETWEEN(0,4)</f>
        <v/>
      </c>
      <c r="G12" s="10">
        <f>RANDBETWEEN(0,4)</f>
        <v/>
      </c>
      <c r="H12" s="34">
        <f>IF(AND($B$13&lt;&gt;"",$C$13&lt;&gt;"",$A$13&lt;&gt;"",$D$13&lt;&gt;""),IF($B$13&gt;$C$13,$A$13,IF($C$13&gt;$B$13,$D$13,IF(AND($B$14&lt;&gt;"",$C$14&lt;&gt;""),IF($B$14&gt;$C$14,$A$13,IF($B$14&lt;$C$14,$D$13,"TBD")),"TBD"))),"—")</f>
        <v/>
      </c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33">
        <f>IF(AND($AH$9&lt;&gt;"",$AI$9&lt;&gt;"",$AG$9&lt;&gt;"",$AJ$9&lt;&gt;""),IF($AH$9&gt;$AI$9,$AG$9,IF($AI$9&gt;$AH$9,$AJ$9,IF(AND($AH$10&lt;&gt;"",$AI$10&lt;&gt;""),IF($AH$10&gt;$AI$10,$AG$9,IF($AH$10&lt;$AI$10,$AJ$9,"TBD")),"TBD"))),"—")</f>
        <v/>
      </c>
      <c r="AD12" s="10">
        <f>RANDBETWEEN(0,4)</f>
        <v/>
      </c>
      <c r="AE12" s="10">
        <f>RANDBETWEEN(0,4)</f>
        <v/>
      </c>
      <c r="AF12" s="34">
        <f>IF(AND($AH$13&lt;&gt;"",$AI$13&lt;&gt;"",$AG$13&lt;&gt;"",$AJ$13&lt;&gt;""),IF($AH$13&gt;$AI$13,$AG$13,IF($AI$13&gt;$AH$13,$AJ$13,IF(AND($AH$14&lt;&gt;"",$AI$14&lt;&gt;""),IF($AH$14&gt;$AI$14,$AG$13,IF($AH$14&lt;$AI$14,$AJ$13,"TBD")),"TBD"))),"—")</f>
        <v/>
      </c>
      <c r="AG12" s="32" t="inlineStr">
        <is>
          <t>Jul 1  ·  San Francisco</t>
        </is>
      </c>
    </row>
    <row r="13" ht="14" customHeight="1">
      <c r="A13" s="33">
        <f>'Clasificados'!$B$6</f>
        <v/>
      </c>
      <c r="B13" s="10">
        <f>RANDBETWEEN(0,4)</f>
        <v/>
      </c>
      <c r="C13" s="10">
        <f>RANDBETWEEN(0,4)</f>
        <v/>
      </c>
      <c r="D13" s="34">
        <f>'Clasificados'!$C$9</f>
        <v/>
      </c>
      <c r="E13" s="35" t="inlineStr">
        <is>
          <t>Pen →</t>
        </is>
      </c>
      <c r="F13" s="36">
        <f>RANDBETWEEN(3,7)</f>
        <v/>
      </c>
      <c r="G13" s="36">
        <f>RANDBETWEEN(3,7)</f>
        <v/>
      </c>
      <c r="H13" s="37" t="inlineStr">
        <is>
          <t>← Pen</t>
        </is>
      </c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  <c r="AA13" s="29" t="n"/>
      <c r="AB13" s="29" t="n"/>
      <c r="AC13" s="35" t="inlineStr">
        <is>
          <t>Pen →</t>
        </is>
      </c>
      <c r="AD13" s="36">
        <f>RANDBETWEEN(3,7)</f>
        <v/>
      </c>
      <c r="AE13" s="36">
        <f>RANDBETWEEN(3,7)</f>
        <v/>
      </c>
      <c r="AF13" s="37" t="inlineStr">
        <is>
          <t>← Pen</t>
        </is>
      </c>
      <c r="AG13" s="33">
        <f>'Clasificados'!$B$7</f>
        <v/>
      </c>
      <c r="AH13" s="10">
        <f>RANDBETWEEN(0,4)</f>
        <v/>
      </c>
      <c r="AI13" s="10">
        <f>RANDBETWEEN(0,4)</f>
        <v/>
      </c>
      <c r="AJ13" s="34" t="inlineStr">
        <is>
          <t>Turkey</t>
        </is>
      </c>
    </row>
    <row r="14" ht="14" customHeight="1">
      <c r="A14" s="35" t="inlineStr">
        <is>
          <t>Pen →</t>
        </is>
      </c>
      <c r="B14" s="36">
        <f>RANDBETWEEN(3,7)</f>
        <v/>
      </c>
      <c r="C14" s="36">
        <f>RANDBETWEEN(3,7)</f>
        <v/>
      </c>
      <c r="D14" s="37" t="inlineStr">
        <is>
          <t>← Pen</t>
        </is>
      </c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35" t="inlineStr">
        <is>
          <t>Pen →</t>
        </is>
      </c>
      <c r="AH14" s="36">
        <f>RANDBETWEEN(3,7)</f>
        <v/>
      </c>
      <c r="AI14" s="36">
        <f>RANDBETWEEN(3,7)</f>
        <v/>
      </c>
      <c r="AJ14" s="37" t="inlineStr">
        <is>
          <t>← Pen</t>
        </is>
      </c>
    </row>
    <row r="15" ht="13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32" t="inlineStr">
        <is>
          <t>Jul 9  ·  Boston</t>
        </is>
      </c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32" t="inlineStr">
        <is>
          <t>Jul 11  ·  Miami</t>
        </is>
      </c>
      <c r="AC15" s="29" t="n"/>
      <c r="AD15" s="29" t="n"/>
      <c r="AE15" s="29" t="n"/>
      <c r="AF15" s="29" t="n"/>
      <c r="AG15" s="29" t="n"/>
      <c r="AH15" s="29" t="n"/>
      <c r="AI15" s="29" t="n"/>
      <c r="AJ15" s="29" t="n"/>
    </row>
    <row r="16" ht="20" customHeight="1">
      <c r="A16" s="32" t="inlineStr">
        <is>
          <t>Jun 29  ·  Boston</t>
        </is>
      </c>
      <c r="E16" s="29" t="n"/>
      <c r="F16" s="29" t="n"/>
      <c r="G16" s="29" t="n"/>
      <c r="H16" s="29" t="n"/>
      <c r="I16" s="33">
        <f>IF(AND($F$12&lt;&gt;"",$G$12&lt;&gt;"",$E$12&lt;&gt;"",$H$12&lt;&gt;""),IF($F$12&gt;$G$12,$E$12,IF($G$12&gt;$F$12,$H$12,IF(AND($F$13&lt;&gt;"",$G$13&lt;&gt;""),IF($F$13&gt;$G$13,$E$12,IF($F$13&lt;$G$13,$H$12,"TBD")),"TBD"))),"—")</f>
        <v/>
      </c>
      <c r="J16" s="10">
        <f>RANDBETWEEN(0,4)</f>
        <v/>
      </c>
      <c r="K16" s="10">
        <f>RANDBETWEEN(0,4)</f>
        <v/>
      </c>
      <c r="L16" s="34">
        <f>IF(AND($F$20&lt;&gt;"",$G$20&lt;&gt;"",$E$20&lt;&gt;"",$H$20&lt;&gt;""),IF($F$20&gt;$G$20,$E$20,IF($G$20&gt;$F$20,$H$20,IF(AND($F$21&lt;&gt;"",$G$21&lt;&gt;""),IF($F$21&gt;$G$21,$E$20,IF($F$21&lt;$G$21,$H$20,"TBD")),"TBD"))),"—")</f>
        <v/>
      </c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33">
        <f>IF(AND($AD$12&lt;&gt;"",$AE$12&lt;&gt;"",$AC$12&lt;&gt;"",$AF$12&lt;&gt;""),IF($AD$12&gt;$AE$12,$AC$12,IF($AE$12&gt;$AD$12,$AF$12,IF(AND($AD$13&lt;&gt;"",$AE$13&lt;&gt;""),IF($AD$13&gt;$AE$13,$AC$12,IF($AD$13&lt;$AE$13,$AF$12,"TBD")),"TBD"))),"—")</f>
        <v/>
      </c>
      <c r="Z16" s="10">
        <f>RANDBETWEEN(0,4)</f>
        <v/>
      </c>
      <c r="AA16" s="10">
        <f>RANDBETWEEN(0,4)</f>
        <v/>
      </c>
      <c r="AB16" s="34">
        <f>IF(AND($AD$20&lt;&gt;"",$AE$20&lt;&gt;"",$AC$20&lt;&gt;"",$AF$20&lt;&gt;""),IF($AD$20&gt;$AE$20,$AC$20,IF($AE$20&gt;$AD$20,$AF$20,IF(AND($AD$21&lt;&gt;"",$AE$21&lt;&gt;""),IF($AD$21&gt;$AE$21,$AC$20,IF($AD$21&lt;$AE$21,$AF$20,"TBD")),"TBD"))),"—")</f>
        <v/>
      </c>
      <c r="AC16" s="29" t="n"/>
      <c r="AD16" s="29" t="n"/>
      <c r="AE16" s="29" t="n"/>
      <c r="AF16" s="29" t="n"/>
      <c r="AG16" s="32" t="inlineStr">
        <is>
          <t>Jul 2  ·  Los Angeles</t>
        </is>
      </c>
    </row>
    <row r="17" ht="14" customHeight="1">
      <c r="A17" s="33">
        <f>'Clasificados'!$B$8</f>
        <v/>
      </c>
      <c r="B17" s="10">
        <f>RANDBETWEEN(0,4)</f>
        <v/>
      </c>
      <c r="C17" s="10">
        <f>RANDBETWEEN(0,4)</f>
        <v/>
      </c>
      <c r="D17" s="34" t="inlineStr">
        <is>
          <t>Czech Republic</t>
        </is>
      </c>
      <c r="E17" s="29" t="n"/>
      <c r="F17" s="29" t="n"/>
      <c r="G17" s="29" t="n"/>
      <c r="H17" s="29" t="n"/>
      <c r="I17" s="35" t="inlineStr">
        <is>
          <t>Pen →</t>
        </is>
      </c>
      <c r="J17" s="36">
        <f>RANDBETWEEN(3,7)</f>
        <v/>
      </c>
      <c r="K17" s="36">
        <f>RANDBETWEEN(3,7)</f>
        <v/>
      </c>
      <c r="L17" s="37" t="inlineStr">
        <is>
          <t>← Pen</t>
        </is>
      </c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35" t="inlineStr">
        <is>
          <t>Pen →</t>
        </is>
      </c>
      <c r="Z17" s="36">
        <f>RANDBETWEEN(3,7)</f>
        <v/>
      </c>
      <c r="AA17" s="36">
        <f>RANDBETWEEN(3,7)</f>
        <v/>
      </c>
      <c r="AB17" s="37" t="inlineStr">
        <is>
          <t>← Pen</t>
        </is>
      </c>
      <c r="AC17" s="29" t="n"/>
      <c r="AD17" s="29" t="n"/>
      <c r="AE17" s="29" t="n"/>
      <c r="AF17" s="29" t="n"/>
      <c r="AG17" s="33">
        <f>'Clasificados'!$B$11</f>
        <v/>
      </c>
      <c r="AH17" s="10">
        <f>RANDBETWEEN(0,4)</f>
        <v/>
      </c>
      <c r="AI17" s="10">
        <f>RANDBETWEEN(0,4)</f>
        <v/>
      </c>
      <c r="AJ17" s="34">
        <f>'Clasificados'!$C$13</f>
        <v/>
      </c>
    </row>
    <row r="18" ht="14" customHeight="1">
      <c r="A18" s="35" t="inlineStr">
        <is>
          <t>Pen →</t>
        </is>
      </c>
      <c r="B18" s="36">
        <f>RANDBETWEEN(3,7)</f>
        <v/>
      </c>
      <c r="C18" s="36">
        <f>RANDBETWEEN(3,7)</f>
        <v/>
      </c>
      <c r="D18" s="37" t="inlineStr">
        <is>
          <t>← Pen</t>
        </is>
      </c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  <c r="AA18" s="29" t="n"/>
      <c r="AB18" s="29" t="n"/>
      <c r="AC18" s="29" t="n"/>
      <c r="AD18" s="29" t="n"/>
      <c r="AE18" s="29" t="n"/>
      <c r="AF18" s="29" t="n"/>
      <c r="AG18" s="35" t="inlineStr">
        <is>
          <t>Pen →</t>
        </is>
      </c>
      <c r="AH18" s="36">
        <f>RANDBETWEEN(3,7)</f>
        <v/>
      </c>
      <c r="AI18" s="36">
        <f>RANDBETWEEN(3,7)</f>
        <v/>
      </c>
      <c r="AJ18" s="37" t="inlineStr">
        <is>
          <t>← Pen</t>
        </is>
      </c>
    </row>
    <row r="19" ht="13" customHeight="1">
      <c r="A19" s="29" t="n"/>
      <c r="B19" s="29" t="n"/>
      <c r="C19" s="29" t="n"/>
      <c r="D19" s="29" t="n"/>
      <c r="E19" s="32" t="inlineStr">
        <is>
          <t>Jul 4  ·  Philadelphia</t>
        </is>
      </c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29" t="n"/>
      <c r="AB19" s="29" t="n"/>
      <c r="AC19" s="32" t="inlineStr">
        <is>
          <t>Jul 6  ·  Seattle</t>
        </is>
      </c>
      <c r="AG19" s="29" t="n"/>
      <c r="AH19" s="29" t="n"/>
      <c r="AI19" s="29" t="n"/>
      <c r="AJ19" s="29" t="n"/>
    </row>
    <row r="20" ht="20" customHeight="1">
      <c r="A20" s="32" t="inlineStr">
        <is>
          <t>Jun 29  ·  Monterrey</t>
        </is>
      </c>
      <c r="E20" s="33">
        <f>IF(AND($B$17&lt;&gt;"",$C$17&lt;&gt;"",$A$17&lt;&gt;"",$D$17&lt;&gt;""),IF($B$17&gt;$C$17,$A$17,IF($C$17&gt;$B$17,$D$17,IF(AND($B$18&lt;&gt;"",$C$18&lt;&gt;""),IF($B$18&gt;$C$18,$A$17,IF($B$18&lt;$C$18,$D$17,"TBD")),"TBD"))),"—")</f>
        <v/>
      </c>
      <c r="F20" s="10">
        <f>RANDBETWEEN(0,4)</f>
        <v/>
      </c>
      <c r="G20" s="10">
        <f>RANDBETWEEN(0,4)</f>
        <v/>
      </c>
      <c r="H20" s="34">
        <f>IF(AND($B$21&lt;&gt;"",$C$21&lt;&gt;"",$A$21&lt;&gt;"",$D$21&lt;&gt;""),IF($B$21&gt;$C$21,$A$21,IF($C$21&gt;$B$21,$D$21,IF(AND($B$22&lt;&gt;"",$C$22&lt;&gt;""),IF($B$22&gt;$C$22,$A$21,IF($B$22&lt;$C$22,$D$21,"TBD")),"TBD"))),"—")</f>
        <v/>
      </c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33">
        <f>IF(AND($AH$17&lt;&gt;"",$AI$17&lt;&gt;"",$AG$17&lt;&gt;"",$AJ$17&lt;&gt;""),IF($AH$17&gt;$AI$17,$AG$17,IF($AI$17&gt;$AH$17,$AJ$17,IF(AND($AH$18&lt;&gt;"",$AI$18&lt;&gt;""),IF($AH$18&gt;$AI$18,$AG$17,IF($AH$18&lt;$AI$18,$AJ$17,"TBD")),"TBD"))),"—")</f>
        <v/>
      </c>
      <c r="AD20" s="10">
        <f>RANDBETWEEN(0,4)</f>
        <v/>
      </c>
      <c r="AE20" s="10">
        <f>RANDBETWEEN(0,4)</f>
        <v/>
      </c>
      <c r="AF20" s="34">
        <f>IF(AND($AH$21&lt;&gt;"",$AI$21&lt;&gt;"",$AG$21&lt;&gt;"",$AJ$21&lt;&gt;""),IF($AH$21&gt;$AI$21,$AG$21,IF($AI$21&gt;$AH$21,$AJ$21,IF(AND($AH$22&lt;&gt;"",$AI$22&lt;&gt;""),IF($AH$22&gt;$AI$22,$AG$21,IF($AH$22&lt;$AI$22,$AJ$21,"TBD")),"TBD"))),"—")</f>
        <v/>
      </c>
      <c r="AG20" s="32" t="inlineStr">
        <is>
          <t>Jul 2  ·  Toronto</t>
        </is>
      </c>
    </row>
    <row r="21" ht="14" customHeight="1">
      <c r="A21" s="33">
        <f>'Clasificados'!$B$9</f>
        <v/>
      </c>
      <c r="B21" s="10">
        <f>RANDBETWEEN(0,4)</f>
        <v/>
      </c>
      <c r="C21" s="10">
        <f>RANDBETWEEN(0,4)</f>
        <v/>
      </c>
      <c r="D21" s="34">
        <f>'Clasificados'!$C$6</f>
        <v/>
      </c>
      <c r="E21" s="35" t="inlineStr">
        <is>
          <t>Pen →</t>
        </is>
      </c>
      <c r="F21" s="36">
        <f>RANDBETWEEN(3,7)</f>
        <v/>
      </c>
      <c r="G21" s="36">
        <f>RANDBETWEEN(3,7)</f>
        <v/>
      </c>
      <c r="H21" s="37" t="inlineStr">
        <is>
          <t>← Pen</t>
        </is>
      </c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35" t="inlineStr">
        <is>
          <t>Pen →</t>
        </is>
      </c>
      <c r="AD21" s="36">
        <f>RANDBETWEEN(3,7)</f>
        <v/>
      </c>
      <c r="AE21" s="36">
        <f>RANDBETWEEN(3,7)</f>
        <v/>
      </c>
      <c r="AF21" s="37" t="inlineStr">
        <is>
          <t>← Pen</t>
        </is>
      </c>
      <c r="AG21" s="33">
        <f>'Clasificados'!$C$14</f>
        <v/>
      </c>
      <c r="AH21" s="10">
        <f>RANDBETWEEN(0,4)</f>
        <v/>
      </c>
      <c r="AI21" s="10">
        <f>RANDBETWEEN(0,4)</f>
        <v/>
      </c>
      <c r="AJ21" s="34">
        <f>'Clasificados'!$C$15</f>
        <v/>
      </c>
    </row>
    <row r="22" ht="14" customHeight="1">
      <c r="A22" s="35" t="inlineStr">
        <is>
          <t>Pen →</t>
        </is>
      </c>
      <c r="B22" s="36">
        <f>RANDBETWEEN(3,7)</f>
        <v/>
      </c>
      <c r="C22" s="36">
        <f>RANDBETWEEN(3,7)</f>
        <v/>
      </c>
      <c r="D22" s="37" t="inlineStr">
        <is>
          <t>← Pen</t>
        </is>
      </c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  <c r="AA22" s="29" t="n"/>
      <c r="AB22" s="29" t="n"/>
      <c r="AC22" s="29" t="n"/>
      <c r="AD22" s="29" t="n"/>
      <c r="AE22" s="29" t="n"/>
      <c r="AF22" s="29" t="n"/>
      <c r="AG22" s="35" t="inlineStr">
        <is>
          <t>Pen →</t>
        </is>
      </c>
      <c r="AH22" s="36">
        <f>RANDBETWEEN(3,7)</f>
        <v/>
      </c>
      <c r="AI22" s="36">
        <f>RANDBETWEEN(3,7)</f>
        <v/>
      </c>
      <c r="AJ22" s="37" t="inlineStr">
        <is>
          <t>← Pen</t>
        </is>
      </c>
    </row>
    <row r="23" ht="13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32" t="inlineStr">
        <is>
          <t>Jul 14  ·  Dallas</t>
        </is>
      </c>
      <c r="Q23" s="38" t="inlineStr">
        <is>
          <t>Jul 19  ·  New York/NJ · MetLife Stadium</t>
        </is>
      </c>
      <c r="U23" s="32" t="inlineStr">
        <is>
          <t>Jul 15  ·  Atlanta</t>
        </is>
      </c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29" t="n"/>
      <c r="AH23" s="29" t="n"/>
      <c r="AI23" s="29" t="n"/>
      <c r="AJ23" s="29" t="n"/>
    </row>
    <row r="24" ht="24" customHeight="1">
      <c r="A24" s="32" t="inlineStr">
        <is>
          <t>Jun 30  ·  Dallas</t>
        </is>
      </c>
      <c r="E24" s="29" t="n"/>
      <c r="F24" s="29" t="n"/>
      <c r="G24" s="29" t="n"/>
      <c r="H24" s="29" t="n"/>
      <c r="I24" s="29" t="n"/>
      <c r="J24" s="29" t="n"/>
      <c r="K24" s="29" t="n"/>
      <c r="L24" s="29" t="n"/>
      <c r="M24" s="33">
        <f>IF(AND($J$16&lt;&gt;"",$K$16&lt;&gt;"",$I$16&lt;&gt;"",$L$16&lt;&gt;""),IF($J$16&gt;$K$16,$I$16,IF($K$16&gt;$J$16,$L$16,IF(AND($J$17&lt;&gt;"",$K$17&lt;&gt;""),IF($J$17&gt;$K$17,$I$16,IF($J$17&lt;$K$17,$L$16,"TBD")),"TBD"))),"—")</f>
        <v/>
      </c>
      <c r="N24" s="10">
        <f>RANDBETWEEN(0,4)</f>
        <v/>
      </c>
      <c r="O24" s="10">
        <f>RANDBETWEEN(0,4)</f>
        <v/>
      </c>
      <c r="P24" s="34">
        <f>IF(AND($J$32&lt;&gt;"",$K$32&lt;&gt;"",$I$32&lt;&gt;"",$L$32&lt;&gt;""),IF($J$32&gt;$K$32,$I$32,IF($K$32&gt;$J$32,$L$32,IF(AND($J$33&lt;&gt;"",$K$33&lt;&gt;""),IF($J$33&gt;$K$33,$I$32,IF($J$33&lt;$K$33,$L$32,"TBD")),"TBD"))),"—")</f>
        <v/>
      </c>
      <c r="Q24" s="39">
        <f>IF(AND($N$24&lt;&gt;"",$O$24&lt;&gt;"",$M$24&lt;&gt;"",$P$24&lt;&gt;""),IF($N$24&gt;$O$24,$M$24,IF($O$24&gt;$N$24,$P$24,IF(AND($N$25&lt;&gt;"",$O$25&lt;&gt;""),IF($N$25&gt;$O$25,$M$24,IF($N$25&lt;$O$25,$P$24,"TBD")),"TBD"))),"—")</f>
        <v/>
      </c>
      <c r="R24" s="40">
        <f>RANDBETWEEN(0,4)</f>
        <v/>
      </c>
      <c r="S24" s="40">
        <f>RANDBETWEEN(0,4)</f>
        <v/>
      </c>
      <c r="T24" s="41">
        <f>IF(AND($V$24&lt;&gt;"",$W$24&lt;&gt;"",$U$24&lt;&gt;"",$X$24&lt;&gt;""),IF($V$24&gt;$W$24,$U$24,IF($W$24&gt;$V$24,$X$24,IF(AND($V$25&lt;&gt;"",$W$25&lt;&gt;""),IF($V$25&gt;$W$25,$U$24,IF($V$25&lt;$W$25,$X$24,"TBD")),"TBD"))),"—")</f>
        <v/>
      </c>
      <c r="U24" s="33">
        <f>IF(AND($Z$16&lt;&gt;"",$AA$16&lt;&gt;"",$Y$16&lt;&gt;"",$AB$16&lt;&gt;""),IF($Z$16&gt;$AA$16,$Y$16,IF($AA$16&gt;$Z$16,$AB$16,IF(AND($Z$17&lt;&gt;"",$AA$17&lt;&gt;""),IF($Z$17&gt;$AA$17,$Y$16,IF($Z$17&lt;$AA$17,$AB$16,"TBD")),"TBD"))),"—")</f>
        <v/>
      </c>
      <c r="V24" s="10">
        <f>RANDBETWEEN(0,4)</f>
        <v/>
      </c>
      <c r="W24" s="10">
        <f>RANDBETWEEN(0,4)</f>
        <v/>
      </c>
      <c r="X24" s="34">
        <f>IF(AND($Z$32&lt;&gt;"",$AA$32&lt;&gt;"",$Y$32&lt;&gt;"",$AB$32&lt;&gt;""),IF($Z$32&gt;$AA$32,$Y$32,IF($AA$32&gt;$Z$32,$AB$32,IF(AND($Z$33&lt;&gt;"",$AA$33&lt;&gt;""),IF($Z$33&gt;$AA$33,$Y$32,IF($Z$33&lt;$AA$33,$AB$32,"TBD")),"TBD"))),"—")</f>
        <v/>
      </c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32" t="inlineStr">
        <is>
          <t>Jul 2  ·  Vancouver</t>
        </is>
      </c>
    </row>
    <row r="25" ht="14" customHeight="1">
      <c r="A25" s="33">
        <f>'Clasificados'!$C$8</f>
        <v/>
      </c>
      <c r="B25" s="10">
        <f>RANDBETWEEN(0,4)</f>
        <v/>
      </c>
      <c r="C25" s="10">
        <f>RANDBETWEEN(0,4)</f>
        <v/>
      </c>
      <c r="D25" s="34">
        <f>'Clasificados'!$C$12</f>
        <v/>
      </c>
      <c r="E25" s="29" t="n"/>
      <c r="F25" s="29" t="n"/>
      <c r="G25" s="29" t="n"/>
      <c r="H25" s="29" t="n"/>
      <c r="I25" s="29" t="n"/>
      <c r="J25" s="29" t="n"/>
      <c r="K25" s="29" t="n"/>
      <c r="L25" s="29" t="n"/>
      <c r="M25" s="35" t="inlineStr">
        <is>
          <t>Pen →</t>
        </is>
      </c>
      <c r="N25" s="36">
        <f>RANDBETWEEN(3,7)</f>
        <v/>
      </c>
      <c r="O25" s="36">
        <f>RANDBETWEEN(3,7)</f>
        <v/>
      </c>
      <c r="P25" s="37" t="inlineStr">
        <is>
          <t>← Pen</t>
        </is>
      </c>
      <c r="Q25" s="35" t="inlineStr">
        <is>
          <t>Pen →</t>
        </is>
      </c>
      <c r="R25" s="36">
        <f>RANDBETWEEN(3,7)</f>
        <v/>
      </c>
      <c r="S25" s="36">
        <f>RANDBETWEEN(3,7)</f>
        <v/>
      </c>
      <c r="T25" s="37" t="inlineStr">
        <is>
          <t>← Pen</t>
        </is>
      </c>
      <c r="U25" s="35" t="inlineStr">
        <is>
          <t>Pen →</t>
        </is>
      </c>
      <c r="V25" s="36">
        <f>RANDBETWEEN(3,7)</f>
        <v/>
      </c>
      <c r="W25" s="36">
        <f>RANDBETWEEN(3,7)</f>
        <v/>
      </c>
      <c r="X25" s="37" t="inlineStr">
        <is>
          <t>← Pen</t>
        </is>
      </c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33">
        <f>'Clasificados'!$B$5</f>
        <v/>
      </c>
      <c r="AH25" s="10">
        <f>RANDBETWEEN(0,4)</f>
        <v/>
      </c>
      <c r="AI25" s="10">
        <f>RANDBETWEEN(0,4)</f>
        <v/>
      </c>
      <c r="AJ25" s="34" t="inlineStr">
        <is>
          <t>Qatar</t>
        </is>
      </c>
    </row>
    <row r="26" ht="22" customHeight="1">
      <c r="A26" s="35" t="inlineStr">
        <is>
          <t>Pen →</t>
        </is>
      </c>
      <c r="B26" s="36">
        <f>RANDBETWEEN(3,7)</f>
        <v/>
      </c>
      <c r="C26" s="36">
        <f>RANDBETWEEN(3,7)</f>
        <v/>
      </c>
      <c r="D26" s="37" t="inlineStr">
        <is>
          <t>← Pen</t>
        </is>
      </c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42">
        <f>IF($R$24&lt;&gt;"","🏆 "&amp;IF(AND($R$24&lt;&gt;"",$S$24&lt;&gt;"",$Q$24&lt;&gt;"",$T$24&lt;&gt;""),IF($R$24&gt;$S$24,$Q$24,IF($S$24&gt;$R$24,$T$24,IF(AND($R$25&lt;&gt;"",$S$25&lt;&gt;""),IF($R$25&gt;$S$25,$Q$24,IF($R$25&lt;$S$25,$T$24,"TBD")),"TBD"))),"—")&amp;" 🏆","🏆 WORLD CHAMPION 🏆")</f>
        <v/>
      </c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35" t="inlineStr">
        <is>
          <t>Pen →</t>
        </is>
      </c>
      <c r="AH26" s="36">
        <f>RANDBETWEEN(3,7)</f>
        <v/>
      </c>
      <c r="AI26" s="36">
        <f>RANDBETWEEN(3,7)</f>
        <v/>
      </c>
      <c r="AJ26" s="37" t="inlineStr">
        <is>
          <t>← Pen</t>
        </is>
      </c>
    </row>
    <row r="27" ht="13" customHeight="1">
      <c r="A27" s="29" t="n"/>
      <c r="B27" s="29" t="n"/>
      <c r="C27" s="29" t="n"/>
      <c r="D27" s="29" t="n"/>
      <c r="E27" s="32" t="inlineStr">
        <is>
          <t>Jul 5  ·  New York/NJ</t>
        </is>
      </c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32" t="inlineStr">
        <is>
          <t>Jul 7  ·  Atlanta</t>
        </is>
      </c>
      <c r="AG27" s="29" t="n"/>
      <c r="AH27" s="29" t="n"/>
      <c r="AI27" s="29" t="n"/>
      <c r="AJ27" s="29" t="n"/>
    </row>
    <row r="28" ht="20" customHeight="1">
      <c r="A28" s="32" t="inlineStr">
        <is>
          <t>Jun 30  ·  New York/NJ</t>
        </is>
      </c>
      <c r="E28" s="33">
        <f>IF(AND($B$25&lt;&gt;"",$C$25&lt;&gt;"",$A$25&lt;&gt;"",$D$25&lt;&gt;""),IF($B$25&gt;$C$25,$A$25,IF($C$25&gt;$B$25,$D$25,IF(AND($B$26&lt;&gt;"",$C$26&lt;&gt;""),IF($B$26&gt;$C$26,$A$25,IF($B$26&lt;$C$26,$D$25,"TBD")),"TBD"))),"—")</f>
        <v/>
      </c>
      <c r="F28" s="10">
        <f>RANDBETWEEN(0,4)</f>
        <v/>
      </c>
      <c r="G28" s="10">
        <f>RANDBETWEEN(0,4)</f>
        <v/>
      </c>
      <c r="H28" s="34">
        <f>IF(AND($B$29&lt;&gt;"",$C$29&lt;&gt;"",$A$29&lt;&gt;"",$D$29&lt;&gt;""),IF($B$29&gt;$C$29,$A$29,IF($C$29&gt;$B$29,$D$29,IF(AND($B$30&lt;&gt;"",$C$30&lt;&gt;""),IF($B$30&gt;$C$30,$A$29,IF($B$30&lt;$C$30,$D$29,"TBD")),"TBD"))),"—")</f>
        <v/>
      </c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  <c r="AA28" s="29" t="n"/>
      <c r="AB28" s="29" t="n"/>
      <c r="AC28" s="33">
        <f>IF(AND($AH$25&lt;&gt;"",$AI$25&lt;&gt;"",$AG$25&lt;&gt;"",$AJ$25&lt;&gt;""),IF($AH$25&gt;$AI$25,$AG$25,IF($AI$25&gt;$AH$25,$AJ$25,IF(AND($AH$26&lt;&gt;"",$AI$26&lt;&gt;""),IF($AH$26&gt;$AI$26,$AG$25,IF($AH$26&lt;$AI$26,$AJ$25,"TBD")),"TBD"))),"—")</f>
        <v/>
      </c>
      <c r="AD28" s="10">
        <f>RANDBETWEEN(0,4)</f>
        <v/>
      </c>
      <c r="AE28" s="10">
        <f>RANDBETWEEN(0,4)</f>
        <v/>
      </c>
      <c r="AF28" s="34">
        <f>IF(AND($AH$29&lt;&gt;"",$AI$29&lt;&gt;"",$AG$29&lt;&gt;"",$AJ$29&lt;&gt;""),IF($AH$29&gt;$AI$29,$AG$29,IF($AI$29&gt;$AH$29,$AJ$29,IF(AND($AH$30&lt;&gt;"",$AI$30&lt;&gt;""),IF($AH$30&gt;$AI$30,$AG$29,IF($AH$30&lt;$AI$30,$AJ$29,"TBD")),"TBD"))),"—")</f>
        <v/>
      </c>
      <c r="AG28" s="32" t="inlineStr">
        <is>
          <t>Jul 3  ·  Dallas</t>
        </is>
      </c>
    </row>
    <row r="29" ht="14" customHeight="1">
      <c r="A29" s="33">
        <f>'Clasificados'!$B$12</f>
        <v/>
      </c>
      <c r="B29" s="10">
        <f>RANDBETWEEN(0,4)</f>
        <v/>
      </c>
      <c r="C29" s="10">
        <f>RANDBETWEEN(0,4)</f>
        <v/>
      </c>
      <c r="D29" s="34" t="inlineStr">
        <is>
          <t>Norway</t>
        </is>
      </c>
      <c r="E29" s="35" t="inlineStr">
        <is>
          <t>Pen →</t>
        </is>
      </c>
      <c r="F29" s="36">
        <f>RANDBETWEEN(3,7)</f>
        <v/>
      </c>
      <c r="G29" s="36">
        <f>RANDBETWEEN(3,7)</f>
        <v/>
      </c>
      <c r="H29" s="37" t="inlineStr">
        <is>
          <t>← Pen</t>
        </is>
      </c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  <c r="AA29" s="29" t="n"/>
      <c r="AB29" s="29" t="n"/>
      <c r="AC29" s="35" t="inlineStr">
        <is>
          <t>Pen →</t>
        </is>
      </c>
      <c r="AD29" s="36">
        <f>RANDBETWEEN(3,7)</f>
        <v/>
      </c>
      <c r="AE29" s="36">
        <f>RANDBETWEEN(3,7)</f>
        <v/>
      </c>
      <c r="AF29" s="37" t="inlineStr">
        <is>
          <t>← Pen</t>
        </is>
      </c>
      <c r="AG29" s="33">
        <f>'Clasificados'!$C$7</f>
        <v/>
      </c>
      <c r="AH29" s="10">
        <f>RANDBETWEEN(0,4)</f>
        <v/>
      </c>
      <c r="AI29" s="10">
        <f>RANDBETWEEN(0,4)</f>
        <v/>
      </c>
      <c r="AJ29" s="34">
        <f>'Clasificados'!$C$10</f>
        <v/>
      </c>
    </row>
    <row r="30" ht="14" customHeight="1">
      <c r="A30" s="35" t="inlineStr">
        <is>
          <t>Pen →</t>
        </is>
      </c>
      <c r="B30" s="36">
        <f>RANDBETWEEN(3,7)</f>
        <v/>
      </c>
      <c r="C30" s="36">
        <f>RANDBETWEEN(3,7)</f>
        <v/>
      </c>
      <c r="D30" s="37" t="inlineStr">
        <is>
          <t>← Pen</t>
        </is>
      </c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35" t="inlineStr">
        <is>
          <t>Pen →</t>
        </is>
      </c>
      <c r="AH30" s="36">
        <f>RANDBETWEEN(3,7)</f>
        <v/>
      </c>
      <c r="AI30" s="36">
        <f>RANDBETWEEN(3,7)</f>
        <v/>
      </c>
      <c r="AJ30" s="37" t="inlineStr">
        <is>
          <t>← Pen</t>
        </is>
      </c>
    </row>
    <row r="31" ht="13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32" t="inlineStr">
        <is>
          <t>Jul 10  ·  Los Angeles</t>
        </is>
      </c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32" t="inlineStr">
        <is>
          <t>Jul 11  ·  Kansas City</t>
        </is>
      </c>
      <c r="AC31" s="29" t="n"/>
      <c r="AD31" s="29" t="n"/>
      <c r="AE31" s="29" t="n"/>
      <c r="AF31" s="29" t="n"/>
      <c r="AG31" s="29" t="n"/>
      <c r="AH31" s="29" t="n"/>
      <c r="AI31" s="29" t="n"/>
      <c r="AJ31" s="29" t="n"/>
    </row>
    <row r="32" ht="20" customHeight="1">
      <c r="A32" s="32" t="inlineStr">
        <is>
          <t>Jun 30  ·  Mexico City</t>
        </is>
      </c>
      <c r="E32" s="29" t="n"/>
      <c r="F32" s="29" t="n"/>
      <c r="G32" s="29" t="n"/>
      <c r="H32" s="29" t="n"/>
      <c r="I32" s="33">
        <f>IF(AND($F$28&lt;&gt;"",$G$28&lt;&gt;"",$E$28&lt;&gt;"",$H$28&lt;&gt;""),IF($F$28&gt;$G$28,$E$28,IF($G$28&gt;$F$28,$H$28,IF(AND($F$29&lt;&gt;"",$G$29&lt;&gt;""),IF($F$29&gt;$G$29,$E$28,IF($F$29&lt;$G$29,$H$28,"TBD")),"TBD"))),"—")</f>
        <v/>
      </c>
      <c r="J32" s="10">
        <f>RANDBETWEEN(0,4)</f>
        <v/>
      </c>
      <c r="K32" s="10">
        <f>RANDBETWEEN(0,4)</f>
        <v/>
      </c>
      <c r="L32" s="34">
        <f>IF(AND($F$36&lt;&gt;"",$G$36&lt;&gt;"",$E$36&lt;&gt;"",$H$36&lt;&gt;""),IF($F$36&gt;$G$36,$E$36,IF($G$36&gt;$F$36,$H$36,IF(AND($F$37&lt;&gt;"",$G$37&lt;&gt;""),IF($F$37&gt;$G$37,$E$36,IF($F$37&lt;$G$37,$H$36,"TBD")),"TBD"))),"—")</f>
        <v/>
      </c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33">
        <f>IF(AND($AD$28&lt;&gt;"",$AE$28&lt;&gt;"",$AC$28&lt;&gt;"",$AF$28&lt;&gt;""),IF($AD$28&gt;$AE$28,$AC$28,IF($AE$28&gt;$AD$28,$AF$28,IF(AND($AD$29&lt;&gt;"",$AE$29&lt;&gt;""),IF($AD$29&gt;$AE$29,$AC$28,IF($AD$29&lt;$AE$29,$AF$28,"TBD")),"TBD"))),"—")</f>
        <v/>
      </c>
      <c r="Z32" s="10">
        <f>RANDBETWEEN(0,4)</f>
        <v/>
      </c>
      <c r="AA32" s="10">
        <f>RANDBETWEEN(0,4)</f>
        <v/>
      </c>
      <c r="AB32" s="34">
        <f>IF(AND($AD$36&lt;&gt;"",$AE$36&lt;&gt;"",$AC$36&lt;&gt;"",$AF$36&lt;&gt;""),IF($AD$36&gt;$AE$36,$AC$36,IF($AE$36&gt;$AD$36,$AF$36,IF(AND($AD$37&lt;&gt;"",$AE$37&lt;&gt;""),IF($AD$37&gt;$AE$37,$AC$36,IF($AD$37&lt;$AE$37,$AF$36,"TBD")),"TBD"))),"—")</f>
        <v/>
      </c>
      <c r="AC32" s="29" t="n"/>
      <c r="AD32" s="29" t="n"/>
      <c r="AE32" s="29" t="n"/>
      <c r="AF32" s="29" t="n"/>
      <c r="AG32" s="32" t="inlineStr">
        <is>
          <t>Jul 3  ·  Miami</t>
        </is>
      </c>
    </row>
    <row r="33" ht="14" customHeight="1">
      <c r="A33" s="33">
        <f>'Clasificados'!$B$4</f>
        <v/>
      </c>
      <c r="B33" s="10">
        <f>RANDBETWEEN(0,4)</f>
        <v/>
      </c>
      <c r="C33" s="10">
        <f>RANDBETWEEN(0,4)</f>
        <v/>
      </c>
      <c r="D33" s="34" t="inlineStr">
        <is>
          <t>South Africa</t>
        </is>
      </c>
      <c r="E33" s="29" t="n"/>
      <c r="F33" s="29" t="n"/>
      <c r="G33" s="29" t="n"/>
      <c r="H33" s="29" t="n"/>
      <c r="I33" s="35" t="inlineStr">
        <is>
          <t>Pen →</t>
        </is>
      </c>
      <c r="J33" s="36">
        <f>RANDBETWEEN(3,7)</f>
        <v/>
      </c>
      <c r="K33" s="36">
        <f>RANDBETWEEN(3,7)</f>
        <v/>
      </c>
      <c r="L33" s="37" t="inlineStr">
        <is>
          <t>← Pen</t>
        </is>
      </c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35" t="inlineStr">
        <is>
          <t>Pen →</t>
        </is>
      </c>
      <c r="Z33" s="36">
        <f>RANDBETWEEN(3,7)</f>
        <v/>
      </c>
      <c r="AA33" s="36">
        <f>RANDBETWEEN(3,7)</f>
        <v/>
      </c>
      <c r="AB33" s="37" t="inlineStr">
        <is>
          <t>← Pen</t>
        </is>
      </c>
      <c r="AC33" s="29" t="n"/>
      <c r="AD33" s="29" t="n"/>
      <c r="AE33" s="29" t="n"/>
      <c r="AF33" s="29" t="n"/>
      <c r="AG33" s="33">
        <f>'Clasificados'!$B$13</f>
        <v/>
      </c>
      <c r="AH33" s="10">
        <f>RANDBETWEEN(0,4)</f>
        <v/>
      </c>
      <c r="AI33" s="10">
        <f>RANDBETWEEN(0,4)</f>
        <v/>
      </c>
      <c r="AJ33" s="34">
        <f>'Clasificados'!$C$11</f>
        <v/>
      </c>
    </row>
    <row r="34" ht="14" customHeight="1">
      <c r="A34" s="35" t="inlineStr">
        <is>
          <t>Pen →</t>
        </is>
      </c>
      <c r="B34" s="36">
        <f>RANDBETWEEN(3,7)</f>
        <v/>
      </c>
      <c r="C34" s="36">
        <f>RANDBETWEEN(3,7)</f>
        <v/>
      </c>
      <c r="D34" s="37" t="inlineStr">
        <is>
          <t>← Pen</t>
        </is>
      </c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  <c r="AA34" s="29" t="n"/>
      <c r="AB34" s="29" t="n"/>
      <c r="AC34" s="29" t="n"/>
      <c r="AD34" s="29" t="n"/>
      <c r="AE34" s="29" t="n"/>
      <c r="AF34" s="29" t="n"/>
      <c r="AG34" s="35" t="inlineStr">
        <is>
          <t>Pen →</t>
        </is>
      </c>
      <c r="AH34" s="36">
        <f>RANDBETWEEN(3,7)</f>
        <v/>
      </c>
      <c r="AI34" s="36">
        <f>RANDBETWEEN(3,7)</f>
        <v/>
      </c>
      <c r="AJ34" s="37" t="inlineStr">
        <is>
          <t>← Pen</t>
        </is>
      </c>
    </row>
    <row r="35" ht="13" customHeight="1">
      <c r="A35" s="29" t="n"/>
      <c r="B35" s="29" t="n"/>
      <c r="C35" s="29" t="n"/>
      <c r="D35" s="29" t="n"/>
      <c r="E35" s="32" t="inlineStr">
        <is>
          <t>Jul 5  ·  Mexico City</t>
        </is>
      </c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  <c r="AA35" s="29" t="n"/>
      <c r="AB35" s="29" t="n"/>
      <c r="AC35" s="32" t="inlineStr">
        <is>
          <t>Jul 7  ·  Vancouver</t>
        </is>
      </c>
      <c r="AG35" s="29" t="n"/>
      <c r="AH35" s="29" t="n"/>
      <c r="AI35" s="29" t="n"/>
      <c r="AJ35" s="29" t="n"/>
    </row>
    <row r="36" ht="20" customHeight="1">
      <c r="A36" s="32" t="inlineStr">
        <is>
          <t>Jul 1  ·  Atlanta</t>
        </is>
      </c>
      <c r="E36" s="33">
        <f>IF(AND($B$33&lt;&gt;"",$C$33&lt;&gt;"",$A$33&lt;&gt;"",$D$33&lt;&gt;""),IF($B$33&gt;$C$33,$A$33,IF($C$33&gt;$B$33,$D$33,IF(AND($B$34&lt;&gt;"",$C$34&lt;&gt;""),IF($B$34&gt;$C$34,$A$33,IF($B$34&lt;$C$34,$D$33,"TBD")),"TBD"))),"—")</f>
        <v/>
      </c>
      <c r="F36" s="10">
        <f>RANDBETWEEN(0,4)</f>
        <v/>
      </c>
      <c r="G36" s="10">
        <f>RANDBETWEEN(0,4)</f>
        <v/>
      </c>
      <c r="H36" s="34">
        <f>IF(AND($B$37&lt;&gt;"",$C$37&lt;&gt;"",$A$37&lt;&gt;"",$D$37&lt;&gt;""),IF($B$37&gt;$C$37,$A$37,IF($C$37&gt;$B$37,$D$37,IF(AND($B$38&lt;&gt;"",$C$38&lt;&gt;""),IF($B$38&gt;$C$38,$A$37,IF($B$38&lt;$C$38,$D$37,"TBD")),"TBD"))),"—")</f>
        <v/>
      </c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33">
        <f>IF(AND($AH$33&lt;&gt;"",$AI$33&lt;&gt;"",$AG$33&lt;&gt;"",$AJ$33&lt;&gt;""),IF($AH$33&gt;$AI$33,$AG$33,IF($AI$33&gt;$AH$33,$AJ$33,IF(AND($AH$34&lt;&gt;"",$AI$34&lt;&gt;""),IF($AH$34&gt;$AI$34,$AG$33,IF($AH$34&lt;$AI$34,$AJ$33,"TBD")),"TBD"))),"—")</f>
        <v/>
      </c>
      <c r="AD36" s="10">
        <f>RANDBETWEEN(0,4)</f>
        <v/>
      </c>
      <c r="AE36" s="10">
        <f>RANDBETWEEN(0,4)</f>
        <v/>
      </c>
      <c r="AF36" s="34">
        <f>IF(AND($AH$37&lt;&gt;"",$AI$37&lt;&gt;"",$AG$37&lt;&gt;"",$AJ$37&lt;&gt;""),IF($AH$37&gt;$AI$37,$AG$37,IF($AI$37&gt;$AH$37,$AJ$37,IF(AND($AH$38&lt;&gt;"",$AI$38&lt;&gt;""),IF($AH$38&gt;$AI$38,$AG$37,IF($AH$38&lt;$AI$38,$AJ$37,"TBD")),"TBD"))),"—")</f>
        <v/>
      </c>
      <c r="AG36" s="32" t="inlineStr">
        <is>
          <t>Jul 3  ·  Kansas City</t>
        </is>
      </c>
    </row>
    <row r="37" ht="14" customHeight="1">
      <c r="A37" s="33">
        <f>'Clasificados'!$B$15</f>
        <v/>
      </c>
      <c r="B37" s="10">
        <f>RANDBETWEEN(0,4)</f>
        <v/>
      </c>
      <c r="C37" s="10">
        <f>RANDBETWEEN(0,4)</f>
        <v/>
      </c>
      <c r="D37" s="34" t="inlineStr">
        <is>
          <t>Ghana</t>
        </is>
      </c>
      <c r="E37" s="35" t="inlineStr">
        <is>
          <t>Pen →</t>
        </is>
      </c>
      <c r="F37" s="36">
        <f>RANDBETWEEN(3,7)</f>
        <v/>
      </c>
      <c r="G37" s="36">
        <f>RANDBETWEEN(3,7)</f>
        <v/>
      </c>
      <c r="H37" s="37" t="inlineStr">
        <is>
          <t>← Pen</t>
        </is>
      </c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  <c r="AA37" s="29" t="n"/>
      <c r="AB37" s="29" t="n"/>
      <c r="AC37" s="35" t="inlineStr">
        <is>
          <t>Pen →</t>
        </is>
      </c>
      <c r="AD37" s="36">
        <f>RANDBETWEEN(3,7)</f>
        <v/>
      </c>
      <c r="AE37" s="36">
        <f>RANDBETWEEN(3,7)</f>
        <v/>
      </c>
      <c r="AF37" s="37" t="inlineStr">
        <is>
          <t>← Pen</t>
        </is>
      </c>
      <c r="AG37" s="33">
        <f>'Clasificados'!$B$14</f>
        <v/>
      </c>
      <c r="AH37" s="10">
        <f>RANDBETWEEN(0,4)</f>
        <v/>
      </c>
      <c r="AI37" s="10">
        <f>RANDBETWEEN(0,4)</f>
        <v/>
      </c>
      <c r="AJ37" s="34" t="inlineStr">
        <is>
          <t>DR Congo</t>
        </is>
      </c>
    </row>
    <row r="38" ht="14" customHeight="1">
      <c r="A38" s="35" t="inlineStr">
        <is>
          <t>Pen →</t>
        </is>
      </c>
      <c r="B38" s="36">
        <f>RANDBETWEEN(3,7)</f>
        <v/>
      </c>
      <c r="C38" s="36">
        <f>RANDBETWEEN(3,7)</f>
        <v/>
      </c>
      <c r="D38" s="37" t="inlineStr">
        <is>
          <t>← Pen</t>
        </is>
      </c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  <c r="AA38" s="29" t="n"/>
      <c r="AB38" s="29" t="n"/>
      <c r="AC38" s="29" t="n"/>
      <c r="AD38" s="29" t="n"/>
      <c r="AE38" s="29" t="n"/>
      <c r="AF38" s="29" t="n"/>
      <c r="AG38" s="35" t="inlineStr">
        <is>
          <t>Pen →</t>
        </is>
      </c>
      <c r="AH38" s="36">
        <f>RANDBETWEEN(3,7)</f>
        <v/>
      </c>
      <c r="AI38" s="36">
        <f>RANDBETWEEN(3,7)</f>
        <v/>
      </c>
      <c r="AJ38" s="37" t="inlineStr">
        <is>
          <t>← Pen</t>
        </is>
      </c>
    </row>
    <row r="39" ht="18" customHeight="1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  <c r="AA39" s="29" t="n"/>
      <c r="AB39" s="29" t="n"/>
      <c r="AC39" s="29" t="n"/>
      <c r="AD39" s="29" t="n"/>
      <c r="AE39" s="29" t="n"/>
      <c r="AF39" s="29" t="n"/>
      <c r="AG39" s="29" t="n"/>
      <c r="AH39" s="29" t="n"/>
      <c r="AI39" s="29" t="n"/>
      <c r="AJ39" s="29" t="n"/>
    </row>
    <row r="40" ht="18" customHeight="1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  <c r="AA40" s="29" t="n"/>
      <c r="AB40" s="29" t="n"/>
      <c r="AC40" s="29" t="n"/>
      <c r="AD40" s="29" t="n"/>
      <c r="AE40" s="29" t="n"/>
      <c r="AF40" s="29" t="n"/>
      <c r="AG40" s="29" t="n"/>
      <c r="AH40" s="29" t="n"/>
      <c r="AI40" s="29" t="n"/>
      <c r="AJ40" s="29" t="n"/>
    </row>
    <row r="41" ht="18" customHeight="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  <c r="AA41" s="29" t="n"/>
      <c r="AB41" s="29" t="n"/>
      <c r="AC41" s="29" t="n"/>
      <c r="AD41" s="29" t="n"/>
      <c r="AE41" s="29" t="n"/>
      <c r="AF41" s="29" t="n"/>
      <c r="AG41" s="29" t="n"/>
      <c r="AH41" s="29" t="n"/>
      <c r="AI41" s="29" t="n"/>
      <c r="AJ41" s="29" t="n"/>
    </row>
    <row r="42" ht="14" customHeight="1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43" t="inlineStr">
        <is>
          <t>THIRD PLACE MATCH</t>
        </is>
      </c>
      <c r="U42" s="29" t="n"/>
      <c r="V42" s="29" t="n"/>
      <c r="W42" s="29" t="n"/>
      <c r="X42" s="29" t="n"/>
      <c r="Y42" s="29" t="n"/>
      <c r="Z42" s="29" t="n"/>
      <c r="AA42" s="29" t="n"/>
      <c r="AB42" s="29" t="n"/>
      <c r="AC42" s="29" t="n"/>
      <c r="AD42" s="29" t="n"/>
      <c r="AE42" s="29" t="n"/>
      <c r="AF42" s="29" t="n"/>
      <c r="AG42" s="29" t="n"/>
      <c r="AH42" s="29" t="n"/>
      <c r="AI42" s="29" t="n"/>
      <c r="AJ42" s="29" t="n"/>
    </row>
    <row r="43" ht="13" customHeight="1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2" t="inlineStr">
        <is>
          <t>Jul 18  ·  Miami</t>
        </is>
      </c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  <c r="AH43" s="29" t="n"/>
      <c r="AI43" s="29" t="n"/>
      <c r="AJ43" s="29" t="n"/>
    </row>
    <row r="44" ht="20" customHeight="1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3">
        <f>IF(AND($N$24&lt;&gt;"",$O$24&lt;&gt;"",$M$24&lt;&gt;"",$P$24&lt;&gt;""),IF($N$24&lt;$O$24,$M$24,IF($O$24&lt;$N$24,$P$24,IF(AND($N$25&lt;&gt;"",$O$25&lt;&gt;""),IF($N$25&lt;$O$25,$M$24,IF($N$25&gt;$O$25,$P$24,"TBD")),"TBD"))),"—")</f>
        <v/>
      </c>
      <c r="R44" s="10">
        <f>RANDBETWEEN(0,4)</f>
        <v/>
      </c>
      <c r="S44" s="10">
        <f>RANDBETWEEN(0,4)</f>
        <v/>
      </c>
      <c r="T44" s="34">
        <f>IF(AND($V$24&lt;&gt;"",$W$24&lt;&gt;"",$U$24&lt;&gt;"",$X$24&lt;&gt;""),IF($V$24&lt;$W$24,$U$24,IF($W$24&lt;$V$24,$X$24,IF(AND($V$25&lt;&gt;"",$W$25&lt;&gt;""),IF($V$25&lt;$W$25,$U$24,IF($V$25&gt;$W$25,$X$24,"TBD")),"TBD"))),"—")</f>
        <v/>
      </c>
      <c r="U44" s="29" t="n"/>
      <c r="V44" s="29" t="n"/>
      <c r="W44" s="29" t="n"/>
      <c r="X44" s="29" t="n"/>
      <c r="Y44" s="29" t="n"/>
      <c r="Z44" s="29" t="n"/>
      <c r="AA44" s="29" t="n"/>
      <c r="AB44" s="29" t="n"/>
      <c r="AC44" s="29" t="n"/>
      <c r="AD44" s="29" t="n"/>
      <c r="AE44" s="29" t="n"/>
      <c r="AF44" s="29" t="n"/>
      <c r="AG44" s="29" t="n"/>
      <c r="AH44" s="29" t="n"/>
      <c r="AI44" s="29" t="n"/>
      <c r="AJ44" s="29" t="n"/>
    </row>
    <row r="45" ht="14" customHeight="1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5" t="inlineStr">
        <is>
          <t>Pen →</t>
        </is>
      </c>
      <c r="R45" s="36">
        <f>RANDBETWEEN(3,7)</f>
        <v/>
      </c>
      <c r="S45" s="36">
        <f>RANDBETWEEN(3,7)</f>
        <v/>
      </c>
      <c r="T45" s="37" t="inlineStr">
        <is>
          <t>← Pen</t>
        </is>
      </c>
      <c r="U45" s="29" t="n"/>
      <c r="V45" s="29" t="n"/>
      <c r="W45" s="29" t="n"/>
      <c r="X45" s="29" t="n"/>
      <c r="Y45" s="29" t="n"/>
      <c r="Z45" s="29" t="n"/>
      <c r="AA45" s="29" t="n"/>
      <c r="AB45" s="29" t="n"/>
      <c r="AC45" s="29" t="n"/>
      <c r="AD45" s="29" t="n"/>
      <c r="AE45" s="29" t="n"/>
      <c r="AF45" s="29" t="n"/>
      <c r="AG45" s="29" t="n"/>
      <c r="AH45" s="29" t="n"/>
      <c r="AI45" s="29" t="n"/>
      <c r="AJ45" s="29" t="n"/>
    </row>
    <row r="46" ht="18" customHeight="1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  <c r="AA46" s="29" t="n"/>
      <c r="AB46" s="29" t="n"/>
      <c r="AC46" s="29" t="n"/>
      <c r="AD46" s="29" t="n"/>
      <c r="AE46" s="29" t="n"/>
      <c r="AF46" s="29" t="n"/>
      <c r="AG46" s="29" t="n"/>
      <c r="AH46" s="29" t="n"/>
      <c r="AI46" s="29" t="n"/>
      <c r="AJ46" s="29" t="n"/>
    </row>
    <row r="47" ht="18" customHeight="1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  <c r="AA47" s="29" t="n"/>
      <c r="AB47" s="29" t="n"/>
      <c r="AC47" s="29" t="n"/>
      <c r="AD47" s="29" t="n"/>
      <c r="AE47" s="29" t="n"/>
      <c r="AF47" s="29" t="n"/>
      <c r="AG47" s="29" t="n"/>
      <c r="AH47" s="29" t="n"/>
      <c r="AI47" s="29" t="n"/>
      <c r="AJ47" s="29" t="n"/>
    </row>
    <row r="48" ht="18" customHeight="1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  <c r="AA48" s="29" t="n"/>
      <c r="AB48" s="29" t="n"/>
      <c r="AC48" s="29" t="n"/>
      <c r="AD48" s="29" t="n"/>
      <c r="AE48" s="29" t="n"/>
      <c r="AF48" s="29" t="n"/>
      <c r="AG48" s="29" t="n"/>
      <c r="AH48" s="29" t="n"/>
      <c r="AI48" s="29" t="n"/>
      <c r="AJ48" s="29" t="n"/>
    </row>
    <row r="49" ht="18" customHeight="1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  <c r="AA49" s="29" t="n"/>
      <c r="AB49" s="29" t="n"/>
      <c r="AC49" s="29" t="n"/>
      <c r="AD49" s="29" t="n"/>
      <c r="AE49" s="29" t="n"/>
      <c r="AF49" s="29" t="n"/>
      <c r="AG49" s="29" t="n"/>
      <c r="AH49" s="29" t="n"/>
      <c r="AI49" s="29" t="n"/>
      <c r="AJ49" s="29" t="n"/>
    </row>
    <row r="50" ht="18" customHeight="1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  <c r="AA50" s="29" t="n"/>
      <c r="AB50" s="29" t="n"/>
      <c r="AC50" s="29" t="n"/>
      <c r="AD50" s="29" t="n"/>
      <c r="AE50" s="29" t="n"/>
      <c r="AF50" s="29" t="n"/>
      <c r="AG50" s="29" t="n"/>
      <c r="AH50" s="29" t="n"/>
      <c r="AI50" s="29" t="n"/>
      <c r="AJ50" s="29" t="n"/>
    </row>
    <row r="51" ht="18" customHeight="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  <c r="AA51" s="29" t="n"/>
      <c r="AB51" s="29" t="n"/>
      <c r="AC51" s="29" t="n"/>
      <c r="AD51" s="29" t="n"/>
      <c r="AE51" s="29" t="n"/>
      <c r="AF51" s="29" t="n"/>
      <c r="AG51" s="29" t="n"/>
      <c r="AH51" s="29" t="n"/>
      <c r="AI51" s="29" t="n"/>
      <c r="AJ51" s="29" t="n"/>
    </row>
  </sheetData>
  <mergeCells count="45">
    <mergeCell ref="AC19:AF19"/>
    <mergeCell ref="A8:D8"/>
    <mergeCell ref="A20:D20"/>
    <mergeCell ref="AG12:AJ12"/>
    <mergeCell ref="AC6:AF6"/>
    <mergeCell ref="A28:D28"/>
    <mergeCell ref="AG24:AJ24"/>
    <mergeCell ref="Y6:AB6"/>
    <mergeCell ref="AC11:AF11"/>
    <mergeCell ref="M23:P23"/>
    <mergeCell ref="AC27:AF27"/>
    <mergeCell ref="U23:X23"/>
    <mergeCell ref="AG8:AJ8"/>
    <mergeCell ref="I31:L31"/>
    <mergeCell ref="A3:AJ3"/>
    <mergeCell ref="I6:L6"/>
    <mergeCell ref="Q43:T43"/>
    <mergeCell ref="A24:D24"/>
    <mergeCell ref="AG20:AJ20"/>
    <mergeCell ref="I15:L15"/>
    <mergeCell ref="U6:X6"/>
    <mergeCell ref="A36:D36"/>
    <mergeCell ref="Y15:AB15"/>
    <mergeCell ref="Q42:T42"/>
    <mergeCell ref="A1:AJ2"/>
    <mergeCell ref="A6:D6"/>
    <mergeCell ref="E35:H35"/>
    <mergeCell ref="AG6:AJ6"/>
    <mergeCell ref="A16:D16"/>
    <mergeCell ref="E19:H19"/>
    <mergeCell ref="Q23:T23"/>
    <mergeCell ref="AG36:AJ36"/>
    <mergeCell ref="Q26:T26"/>
    <mergeCell ref="AG32:AJ32"/>
    <mergeCell ref="A12:D12"/>
    <mergeCell ref="Y31:AB31"/>
    <mergeCell ref="E6:H6"/>
    <mergeCell ref="AC35:AF35"/>
    <mergeCell ref="M6:P6"/>
    <mergeCell ref="AG16:AJ16"/>
    <mergeCell ref="Q6:T6"/>
    <mergeCell ref="E11:H11"/>
    <mergeCell ref="E27:H27"/>
    <mergeCell ref="A32:D32"/>
    <mergeCell ref="AG28:AJ28"/>
  </mergeCells>
  <dataValidations count="128">
    <dataValidation sqref="B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1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1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1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1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2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2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3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3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3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3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B3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C3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1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1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1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1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1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2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2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2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3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3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3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3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H3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I3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1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1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2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2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2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2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3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3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F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G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1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1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1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2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20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21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2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28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29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3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3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D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E3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J1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K1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J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K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J3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K3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J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K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Z1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A16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Z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A17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Z3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A32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Z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AA33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N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O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N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O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V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W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V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W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R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S2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R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S2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R4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S44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R4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  <dataValidation sqref="S45" showDropDown="0" showInputMessage="1" showErrorMessage="1" allowBlank="0" errorTitle="Valor inválido" error="Introduce un número entero ≥ 0 (goles no pueden ser negativos)." promptTitle="Goles" prompt="Introduce el número de goles (entero ≥ 0).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  <col width="14" customWidth="1" min="3" max="3"/>
    <col width="50" customWidth="1" min="4" max="4"/>
  </cols>
  <sheetData>
    <row r="1" ht="28" customHeight="1">
      <c r="A1" s="18" t="inlineStr">
        <is>
          <t>📚  References / Fuentes</t>
        </is>
      </c>
    </row>
    <row r="2" ht="16" customHeight="1">
      <c r="A2" s="19" t="inlineStr">
        <is>
          <t>All data sourced from the following public references as of April 1, 2026.</t>
        </is>
      </c>
    </row>
    <row r="3" ht="18" customHeight="1">
      <c r="A3" s="20" t="inlineStr">
        <is>
          <t>Source</t>
        </is>
      </c>
      <c r="B3" s="20" t="inlineStr">
        <is>
          <t>URL</t>
        </is>
      </c>
      <c r="C3" s="20" t="inlineStr">
        <is>
          <t>Accessed</t>
        </is>
      </c>
      <c r="D3" s="20" t="inlineStr">
        <is>
          <t>Description</t>
        </is>
      </c>
    </row>
    <row r="4" ht="32" customHeight="1">
      <c r="A4" s="44" t="inlineStr">
        <is>
          <t>FIFA Official</t>
        </is>
      </c>
      <c r="B4" s="45" t="inlineStr">
        <is>
          <t>https://www.fifa.com/en/tournaments/mens/worldcup/canadamexicousa2026/articles/match-schedule-fixtures-results-teams-stadiums</t>
        </is>
      </c>
      <c r="C4" s="44" t="inlineStr">
        <is>
          <t>Apr 1, 2026</t>
        </is>
      </c>
      <c r="D4" s="46" t="inlineStr">
        <is>
          <t>Official match schedule and fixtures</t>
        </is>
      </c>
    </row>
    <row r="5" ht="32" customHeight="1">
      <c r="A5" s="47" t="inlineStr">
        <is>
          <t>FOX Sports</t>
        </is>
      </c>
      <c r="B5" s="48" t="inlineStr">
        <is>
          <t>https://www.foxsports.com/stories/soccer/2026-world-cup-schedule-all-games-dates-matchups-how-watch</t>
        </is>
      </c>
      <c r="C5" s="47" t="inlineStr">
        <is>
          <t>Apr 1, 2026</t>
        </is>
      </c>
      <c r="D5" s="49" t="inlineStr">
        <is>
          <t>Full broadcast schedule with dates, times and venues</t>
        </is>
      </c>
    </row>
    <row r="6" ht="32" customHeight="1">
      <c r="A6" s="44" t="inlineStr">
        <is>
          <t>CNN Español</t>
        </is>
      </c>
      <c r="B6" s="45" t="inlineStr">
        <is>
          <t>https://cnnespanol.cnn.com/2026/04/01/deportes/grupos-zonas-copa-mundial-2026-orix</t>
        </is>
      </c>
      <c r="C6" s="44" t="inlineStr">
        <is>
          <t>Apr 1, 2026</t>
        </is>
      </c>
      <c r="D6" s="46" t="inlineStr">
        <is>
          <t>Complete groups and match calendar (post-playoff)</t>
        </is>
      </c>
    </row>
    <row r="7" ht="32" customHeight="1">
      <c r="A7" s="47" t="inlineStr">
        <is>
          <t>Marca</t>
        </is>
      </c>
      <c r="B7" s="48" t="inlineStr">
        <is>
          <t>https://www.marca.com/futbol/mundial/2026/04/01/estan-12-grupos-completos-mundial-falta-irak-bolivia.html</t>
        </is>
      </c>
      <c r="C7" s="47" t="inlineStr">
        <is>
          <t>Apr 1, 2026</t>
        </is>
      </c>
      <c r="D7" s="49" t="inlineStr">
        <is>
          <t>12 complete groups confirmed; Iraq &amp; DR Congo qualify via inter-confederation playoff</t>
        </is>
      </c>
    </row>
    <row r="8" ht="32" customHeight="1">
      <c r="A8" s="44" t="inlineStr">
        <is>
          <t>Wikipedia – 2026 FIFA World Cup</t>
        </is>
      </c>
      <c r="B8" s="45" t="inlineStr">
        <is>
          <t>https://en.wikipedia.org/wiki/2026_FIFA_World_Cup</t>
        </is>
      </c>
      <c r="C8" s="44" t="inlineStr">
        <is>
          <t>Apr 1, 2026</t>
        </is>
      </c>
      <c r="D8" s="46" t="inlineStr">
        <is>
          <t>Tournament overview, format, host cities, qualification</t>
        </is>
      </c>
    </row>
    <row r="10" ht="36" customHeight="1">
      <c r="A10" s="50" t="inlineStr">
        <is>
          <t>Tournament format: 48 teams · 12 groups of 4 · Top 2 per group + 8 best 3rd-place finishers → Round of 32 · 104 total matches · June 11 – July 19, 2026 · Host cities: USA, Canada, Mexico</t>
        </is>
      </c>
    </row>
    <row r="12">
      <c r="A12" s="51" t="inlineStr">
        <is>
          <t>Generated by generate_quiniela.py  ·  MIT License</t>
        </is>
      </c>
    </row>
  </sheetData>
  <mergeCells count="4">
    <mergeCell ref="A1:D1"/>
    <mergeCell ref="A10:D10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2026-04-02T22:15:36Z</dcterms:created>
  <dcterms:modified xsi:type="dcterms:W3CDTF">2026-04-02T22:15:36Z</dcterms:modified>
</cp:coreProperties>
</file>